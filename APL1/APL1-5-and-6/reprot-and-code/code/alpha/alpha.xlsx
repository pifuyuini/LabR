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TaLEs\"/>
    </mc:Choice>
  </mc:AlternateContent>
  <bookViews>
    <workbookView xWindow="0" yWindow="0" windowWidth="19455" windowHeight="79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5" i="1" l="1"/>
  <c r="N3" i="1"/>
  <c r="M3" i="1"/>
  <c r="L3" i="1"/>
  <c r="K3" i="1"/>
  <c r="K2" i="1"/>
  <c r="P16" i="1"/>
  <c r="O16" i="1"/>
  <c r="J15" i="1"/>
  <c r="N2" i="1"/>
  <c r="M2" i="1"/>
  <c r="L2" i="1"/>
  <c r="J18" i="1"/>
  <c r="J17" i="1"/>
  <c r="L17" i="1" s="1"/>
  <c r="L18" i="1"/>
  <c r="N4" i="1"/>
  <c r="N5" i="1"/>
  <c r="M4" i="1"/>
  <c r="M5" i="1"/>
  <c r="L4" i="1"/>
  <c r="L5" i="1"/>
  <c r="K4" i="1"/>
  <c r="K5" i="1"/>
  <c r="C5" i="1"/>
  <c r="C4" i="1"/>
  <c r="H2" i="1"/>
  <c r="H1" i="1"/>
  <c r="J16" i="1" l="1"/>
  <c r="L16" i="1" s="1"/>
  <c r="L19" i="1" s="1"/>
  <c r="O15" i="1" s="1"/>
  <c r="L15" i="1"/>
</calcChain>
</file>

<file path=xl/sharedStrings.xml><?xml version="1.0" encoding="utf-8"?>
<sst xmlns="http://schemas.openxmlformats.org/spreadsheetml/2006/main" count="37" uniqueCount="33">
  <si>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</si>
  <si>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</si>
  <si>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</si>
  <si>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</si>
  <si>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</si>
  <si>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Al</t>
    <phoneticPr fontId="1" type="noConversion"/>
  </si>
  <si>
    <t>C</t>
    <phoneticPr fontId="1" type="noConversion"/>
  </si>
  <si>
    <t>H</t>
    <phoneticPr fontId="1" type="noConversion"/>
  </si>
  <si>
    <t>O</t>
    <phoneticPr fontId="1" type="noConversion"/>
  </si>
  <si>
    <t>data1</t>
    <phoneticPr fontId="1" type="noConversion"/>
  </si>
  <si>
    <t>data2</t>
    <phoneticPr fontId="1" type="noConversion"/>
  </si>
  <si>
    <t>slope</t>
    <phoneticPr fontId="1" type="noConversion"/>
  </si>
  <si>
    <t>intercept</t>
    <phoneticPr fontId="1" type="noConversion"/>
  </si>
  <si>
    <t>d</t>
    <phoneticPr fontId="1" type="noConversion"/>
  </si>
  <si>
    <t>E</t>
    <phoneticPr fontId="1" type="noConversion"/>
  </si>
  <si>
    <t>Al膜</t>
    <phoneticPr fontId="1" type="noConversion"/>
  </si>
  <si>
    <t>mylar膜</t>
    <phoneticPr fontId="1" type="noConversion"/>
  </si>
  <si>
    <t>A1EA2</t>
    <phoneticPr fontId="1" type="noConversion"/>
  </si>
  <si>
    <t>A3E1000</t>
    <phoneticPr fontId="1" type="noConversion"/>
  </si>
  <si>
    <t>A4E1000</t>
    <phoneticPr fontId="1" type="noConversion"/>
  </si>
  <si>
    <t>A5E1000</t>
    <phoneticPr fontId="1" type="noConversion"/>
  </si>
  <si>
    <t>Al</t>
    <phoneticPr fontId="1" type="noConversion"/>
  </si>
  <si>
    <t>C</t>
    <phoneticPr fontId="1" type="noConversion"/>
  </si>
  <si>
    <t>H</t>
    <phoneticPr fontId="1" type="noConversion"/>
  </si>
  <si>
    <t>O</t>
    <phoneticPr fontId="1" type="noConversion"/>
  </si>
  <si>
    <t>mylar</t>
    <phoneticPr fontId="1" type="noConversion"/>
  </si>
  <si>
    <t>mylar</t>
    <phoneticPr fontId="1" type="noConversion"/>
  </si>
  <si>
    <t>Al</t>
    <phoneticPr fontId="1" type="noConversion"/>
  </si>
  <si>
    <t>SigmaE(eV/atom*cm2)</t>
    <phoneticPr fontId="1" type="noConversion"/>
  </si>
  <si>
    <t>N(atom/cm3)</t>
    <phoneticPr fontId="1" type="noConversion"/>
  </si>
  <si>
    <t>dEdx(eV/cm)</t>
    <phoneticPr fontId="1" type="noConversion"/>
  </si>
  <si>
    <t>膜厚cm</t>
    <phoneticPr fontId="1" type="noConversion"/>
  </si>
  <si>
    <t>膜厚um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</si>
</sst>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D1" workbookViewId="0">
      <selection activeCell="K14" sqref="K14"/>
    </sheetView>
  </sheetViews>
  <sheetFormatPr defaultRowHeight="14.25" x14ac:dyDescent="0.2"/>
  <cols>
    <col min="10" max="10" width="21.25" bestFit="1" customWidth="1"/>
    <col min="11" max="11" width="12.75" bestFit="1" customWidth="1"/>
    <col min="12" max="12" width="10.125" customWidth="1"/>
    <col min="15" max="15" width="16.875" customWidth="1"/>
    <col min="16" max="16" width="14.875" bestFit="1" customWidth="1"/>
    <col min="17" max="17" width="13" bestFit="1" customWidth="1"/>
  </cols>
  <sheetData>
    <row r="1" spans="1:17" x14ac:dyDescent="0.2">
      <c r="B1" t="s">
        <v>13</v>
      </c>
      <c r="C1" t="s">
        <v>14</v>
      </c>
      <c r="G1" t="s">
        <v>11</v>
      </c>
      <c r="H1">
        <f>SLOPE(C2:C3,B2:B3)</f>
        <v>1.1077643908969195E-2</v>
      </c>
      <c r="K1" t="s">
        <v>17</v>
      </c>
      <c r="L1" t="s">
        <v>18</v>
      </c>
      <c r="M1" t="s">
        <v>19</v>
      </c>
      <c r="N1" t="s">
        <v>20</v>
      </c>
    </row>
    <row r="2" spans="1:17" x14ac:dyDescent="0.2">
      <c r="A2" t="s">
        <v>9</v>
      </c>
      <c r="B2">
        <v>866.3</v>
      </c>
      <c r="C2">
        <v>5.4859999999999998</v>
      </c>
      <c r="G2" t="s">
        <v>12</v>
      </c>
      <c r="H2">
        <f>INTERCEPT(C2:C3,B2:B3)</f>
        <v>-4.1105629183400128</v>
      </c>
      <c r="J2" t="s">
        <v>21</v>
      </c>
      <c r="K2">
        <f>B15*(C4*1000)^C15</f>
        <v>272.38412073774549</v>
      </c>
      <c r="L2">
        <f>D15/((C4*1000)/1000)</f>
        <v>25.137920979305161</v>
      </c>
      <c r="M2">
        <f>E15/((C4*1000)/1000)</f>
        <v>5.5006391639617416E-2</v>
      </c>
      <c r="N2">
        <f>F15*(C4*1000)/1000</f>
        <v>7.9245336224899807</v>
      </c>
    </row>
    <row r="3" spans="1:17" x14ac:dyDescent="0.2">
      <c r="A3" t="s">
        <v>10</v>
      </c>
      <c r="B3">
        <v>836.42</v>
      </c>
      <c r="C3">
        <v>5.1550000000000002</v>
      </c>
      <c r="J3" t="s">
        <v>22</v>
      </c>
      <c r="K3">
        <f>B16*($C$5*1000)^C16</f>
        <v>97.149457072229424</v>
      </c>
      <c r="L3">
        <f>D16/(($C$5*1000)/1000)</f>
        <v>7.1017323920888717</v>
      </c>
      <c r="M3">
        <f>E16/((1000)/1000)</f>
        <v>35</v>
      </c>
      <c r="N3">
        <f>F16*($C$5*1000)/1000</f>
        <v>25.875245623828683</v>
      </c>
    </row>
    <row r="4" spans="1:17" x14ac:dyDescent="0.2">
      <c r="A4" t="s">
        <v>15</v>
      </c>
      <c r="B4">
        <v>535.17999999999995</v>
      </c>
      <c r="C4">
        <f>$H$1*B4+$H$2</f>
        <v>1.8179705488621201</v>
      </c>
      <c r="J4" t="s">
        <v>23</v>
      </c>
      <c r="K4">
        <f t="shared" ref="K4:K5" si="0">B17*$C$5^C17</f>
        <v>1.568628676412045</v>
      </c>
      <c r="L4">
        <f t="shared" ref="L4:L5" si="1">D17/($C$5/1000)</f>
        <v>2137.624539071553</v>
      </c>
      <c r="M4">
        <f t="shared" ref="M4:M5" si="2">E17/($C$5/1000)</f>
        <v>2727.9425295579313</v>
      </c>
      <c r="N4">
        <f t="shared" ref="N4:N5" si="3">F17*$C$5/1000</f>
        <v>8.3585492556894347E-3</v>
      </c>
    </row>
    <row r="5" spans="1:17" x14ac:dyDescent="0.2">
      <c r="A5" t="s">
        <v>16</v>
      </c>
      <c r="B5">
        <v>663.3</v>
      </c>
      <c r="C5">
        <f>$H$1*B5+$H$2</f>
        <v>3.2372382864792542</v>
      </c>
      <c r="J5" t="s">
        <v>24</v>
      </c>
      <c r="K5">
        <f t="shared" si="0"/>
        <v>3.294927434033061</v>
      </c>
      <c r="L5">
        <f t="shared" si="1"/>
        <v>11463.474948691523</v>
      </c>
      <c r="M5">
        <f t="shared" si="2"/>
        <v>4707.7164704408187</v>
      </c>
      <c r="N5">
        <f t="shared" si="3"/>
        <v>9.0772161552878285E-3</v>
      </c>
    </row>
    <row r="14" spans="1:17" x14ac:dyDescent="0.2">
      <c r="B14" t="s">
        <v>0</v>
      </c>
      <c r="C14" t="s">
        <v>1</v>
      </c>
      <c r="D14" t="s">
        <v>2</v>
      </c>
      <c r="E14" t="s">
        <v>3</v>
      </c>
      <c r="F14" t="s">
        <v>4</v>
      </c>
      <c r="J14" t="s">
        <v>28</v>
      </c>
      <c r="K14" t="s">
        <v>29</v>
      </c>
      <c r="L14" t="s">
        <v>30</v>
      </c>
      <c r="O14" t="s">
        <v>31</v>
      </c>
      <c r="P14" t="s">
        <v>32</v>
      </c>
    </row>
    <row r="15" spans="1:17" x14ac:dyDescent="0.2">
      <c r="A15" t="s">
        <v>5</v>
      </c>
      <c r="B15">
        <v>2.5</v>
      </c>
      <c r="C15">
        <v>0.625</v>
      </c>
      <c r="D15">
        <v>45.7</v>
      </c>
      <c r="E15">
        <v>0.1</v>
      </c>
      <c r="F15">
        <v>4.359</v>
      </c>
      <c r="I15" t="s">
        <v>21</v>
      </c>
      <c r="J15">
        <f>(K2*(L2*LN(1 + M2 + N2)))/(K2 + L2 *LN(1 + M2 + N2))*10^-15</f>
        <v>4.5882164200194001E-14</v>
      </c>
      <c r="K15" s="1">
        <v>6.0199999999999998E+22</v>
      </c>
      <c r="L15" s="1">
        <f>-J15*K15</f>
        <v>-2762106284.8516788</v>
      </c>
      <c r="N15" t="s">
        <v>26</v>
      </c>
      <c r="O15">
        <f>1000000*(C5-C2)/L19</f>
        <v>3.54404368287475E-3</v>
      </c>
      <c r="P15">
        <f>O15*10000</f>
        <v>35.440436828747501</v>
      </c>
    </row>
    <row r="16" spans="1:17" x14ac:dyDescent="0.2">
      <c r="A16" t="s">
        <v>6</v>
      </c>
      <c r="B16">
        <v>4.2320000000000002</v>
      </c>
      <c r="C16">
        <v>0.38769999999999999</v>
      </c>
      <c r="D16">
        <v>22.99</v>
      </c>
      <c r="E16">
        <v>35</v>
      </c>
      <c r="F16">
        <v>7.9930000000000003</v>
      </c>
      <c r="I16" t="s">
        <v>6</v>
      </c>
      <c r="J16">
        <f>(K3*(L3*LN(1 + M3 + N3)))/(K3 + L3 *LN(1 + M3 + N3))*10^-15</f>
        <v>2.2508148696199131E-14</v>
      </c>
      <c r="K16" s="1">
        <v>4.3581999999999996E+22</v>
      </c>
      <c r="L16" s="1">
        <f>-J16*K16</f>
        <v>-980950136.47775042</v>
      </c>
      <c r="N16" t="s">
        <v>27</v>
      </c>
      <c r="O16" s="1">
        <f>1000000*(C4-C2)/L15</f>
        <v>1.3279827323280746E-3</v>
      </c>
      <c r="P16" s="1">
        <f>O16*10000</f>
        <v>13.279827323280745</v>
      </c>
      <c r="Q16" s="1"/>
    </row>
    <row r="17" spans="1:12" x14ac:dyDescent="0.2">
      <c r="A17" t="s">
        <v>7</v>
      </c>
      <c r="B17">
        <v>0.96609999999999996</v>
      </c>
      <c r="C17">
        <v>0.41260000000000002</v>
      </c>
      <c r="D17">
        <v>6.92</v>
      </c>
      <c r="E17">
        <v>8.8309999999999995</v>
      </c>
      <c r="F17">
        <v>2.5819999999999999</v>
      </c>
      <c r="I17" t="s">
        <v>7</v>
      </c>
      <c r="J17">
        <f>(K4*(L4*LN(1 + M4 + N4)))/(K4 + L4 *LN(1 + M4 + N4))*10^-15</f>
        <v>1.5684831974172552E-15</v>
      </c>
      <c r="K17" s="1">
        <v>3.4865999999999999E+22</v>
      </c>
      <c r="L17" s="1">
        <f t="shared" ref="L17:L18" si="4">-J17*K17</f>
        <v>-54686735.161150016</v>
      </c>
    </row>
    <row r="18" spans="1:12" x14ac:dyDescent="0.2">
      <c r="A18" t="s">
        <v>8</v>
      </c>
      <c r="B18">
        <v>1.776</v>
      </c>
      <c r="C18">
        <v>0.52610000000000001</v>
      </c>
      <c r="D18">
        <v>37.11</v>
      </c>
      <c r="E18">
        <v>15.24</v>
      </c>
      <c r="F18">
        <v>2.8039999999999998</v>
      </c>
      <c r="I18" t="s">
        <v>8</v>
      </c>
      <c r="J18">
        <f>(K5*(L5*LN(1 + M5 + N5)))/(K5 + L5 *LN(1 + M5 + N5))*10^-15</f>
        <v>3.2948154553204379E-15</v>
      </c>
      <c r="K18" s="1">
        <v>1.7433E+22</v>
      </c>
      <c r="L18" s="1">
        <f t="shared" si="4"/>
        <v>-57438517.83260119</v>
      </c>
    </row>
    <row r="19" spans="1:12" x14ac:dyDescent="0.2">
      <c r="I19" t="s">
        <v>25</v>
      </c>
      <c r="L19">
        <f>(10*12*L16+8*1*L17+4*16*L18)/(10*12+8*1+4*16)</f>
        <v>-634518621.87450898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2024-11-08T01:32:57Z</dcterms:created>
  <dcterms:modified xsi:type="dcterms:W3CDTF">2024-11-08T03:37:09Z</dcterms:modified>
</cp:coreProperties>
</file>