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20" i="1"/>
  <c r="F14" i="1"/>
  <c r="G15" i="1"/>
  <c r="F15" i="1"/>
  <c r="G14" i="1"/>
  <c r="B15" i="1"/>
  <c r="B14" i="1"/>
  <c r="E1" i="1"/>
  <c r="C14" i="1" s="1"/>
  <c r="F10" i="1"/>
  <c r="F9" i="1"/>
  <c r="B10" i="1"/>
  <c r="B9" i="1"/>
  <c r="E2" i="1" l="1"/>
  <c r="C15" i="1" s="1"/>
</calcChain>
</file>

<file path=xl/sharedStrings.xml><?xml version="1.0" encoding="utf-8"?>
<sst xmlns="http://schemas.openxmlformats.org/spreadsheetml/2006/main" count="18" uniqueCount="11">
  <si>
    <t>E_gamma</t>
    <phoneticPr fontId="2" type="noConversion"/>
  </si>
  <si>
    <t>E_e</t>
    <phoneticPr fontId="2" type="noConversion"/>
  </si>
  <si>
    <t>E_max</t>
    <phoneticPr fontId="2" type="noConversion"/>
  </si>
  <si>
    <t>E_b</t>
    <phoneticPr fontId="2" type="noConversion"/>
  </si>
  <si>
    <t>d</t>
    <phoneticPr fontId="2" type="noConversion"/>
  </si>
  <si>
    <t>E</t>
    <phoneticPr fontId="2" type="noConversion"/>
  </si>
  <si>
    <t>slope</t>
    <phoneticPr fontId="2" type="noConversion"/>
  </si>
  <si>
    <t>intercept</t>
    <phoneticPr fontId="2" type="noConversion"/>
  </si>
  <si>
    <t>E_1</t>
    <phoneticPr fontId="2" type="noConversion"/>
  </si>
  <si>
    <t>E_2</t>
    <phoneticPr fontId="2" type="noConversion"/>
  </si>
  <si>
    <t>eta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</si>
</sst>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00%"/>
    <numFmt numFmtId="182" formatCode="0.0000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80" fontId="0" fillId="0" borderId="0" xfId="1" applyNumberFormat="1" applyFont="1" applyAlignment="1"/>
    <xf numFmtId="182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Sheet1!$E$5:$E$7</c:f>
              <c:numCache>
                <c:formatCode>General</c:formatCode>
                <c:ptCount val="3"/>
                <c:pt idx="0">
                  <c:v>434</c:v>
                </c:pt>
                <c:pt idx="1">
                  <c:v>865</c:v>
                </c:pt>
                <c:pt idx="2">
                  <c:v>771</c:v>
                </c:pt>
              </c:numCache>
            </c:numRef>
          </c:xVal>
          <c:yVal>
            <c:numRef>
              <c:f>Sheet1!$F$5:$F$7</c:f>
              <c:numCache>
                <c:formatCode>General</c:formatCode>
                <c:ptCount val="3"/>
                <c:pt idx="0">
                  <c:v>0.66200000000000003</c:v>
                </c:pt>
                <c:pt idx="1">
                  <c:v>1.3320000000000001</c:v>
                </c:pt>
                <c:pt idx="2">
                  <c:v>1.173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3-4DA4-8F28-E65B27AAD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89680"/>
        <c:axId val="303090096"/>
      </c:scatterChart>
      <c:valAx>
        <c:axId val="3030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090096"/>
        <c:crosses val="autoZero"/>
        <c:crossBetween val="midCat"/>
      </c:valAx>
      <c:valAx>
        <c:axId val="3030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08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7</xdr:row>
      <xdr:rowOff>66675</xdr:rowOff>
    </xdr:from>
    <xdr:to>
      <xdr:col>20</xdr:col>
      <xdr:colOff>95250</xdr:colOff>
      <xdr:row>22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L23" sqref="L23"/>
    </sheetView>
  </sheetViews>
  <sheetFormatPr defaultRowHeight="14.25" x14ac:dyDescent="0.2"/>
  <cols>
    <col min="3" max="3" width="11" bestFit="1" customWidth="1"/>
  </cols>
  <sheetData>
    <row r="1" spans="1:7" x14ac:dyDescent="0.2">
      <c r="A1" t="s">
        <v>0</v>
      </c>
      <c r="B1">
        <v>0.66200000000000003</v>
      </c>
      <c r="D1" t="s">
        <v>2</v>
      </c>
      <c r="E1">
        <f>B1/(1+B2/(2*B1))</f>
        <v>0.47765013623978209</v>
      </c>
    </row>
    <row r="2" spans="1:7" x14ac:dyDescent="0.2">
      <c r="A2" t="s">
        <v>1</v>
      </c>
      <c r="B2">
        <v>0.51100000000000001</v>
      </c>
      <c r="D2" t="s">
        <v>3</v>
      </c>
      <c r="E2">
        <f>B1-E1</f>
        <v>0.18434986376021795</v>
      </c>
    </row>
    <row r="4" spans="1:7" x14ac:dyDescent="0.2">
      <c r="A4" t="s">
        <v>4</v>
      </c>
      <c r="B4" t="s">
        <v>5</v>
      </c>
      <c r="E4" t="s">
        <v>4</v>
      </c>
      <c r="F4" t="s">
        <v>5</v>
      </c>
    </row>
    <row r="5" spans="1:7" x14ac:dyDescent="0.2">
      <c r="A5">
        <v>420.33</v>
      </c>
      <c r="B5">
        <v>0.66200000000000003</v>
      </c>
      <c r="E5">
        <v>434</v>
      </c>
      <c r="F5">
        <v>0.66200000000000003</v>
      </c>
    </row>
    <row r="6" spans="1:7" x14ac:dyDescent="0.2">
      <c r="A6">
        <v>861.74</v>
      </c>
      <c r="B6">
        <v>1.3320000000000001</v>
      </c>
      <c r="E6">
        <v>865</v>
      </c>
      <c r="F6">
        <v>1.3320000000000001</v>
      </c>
    </row>
    <row r="7" spans="1:7" x14ac:dyDescent="0.2">
      <c r="A7">
        <v>745.4</v>
      </c>
      <c r="B7">
        <v>1.173</v>
      </c>
      <c r="E7">
        <v>771</v>
      </c>
      <c r="F7">
        <v>1.173</v>
      </c>
    </row>
    <row r="9" spans="1:7" x14ac:dyDescent="0.2">
      <c r="A9" t="s">
        <v>6</v>
      </c>
      <c r="B9">
        <f>SLOPE(B5:B7,A5:A7)</f>
        <v>1.5295530892442508E-3</v>
      </c>
      <c r="E9" t="s">
        <v>6</v>
      </c>
      <c r="F9">
        <f>SLOPE(F5:F7,E5:E7)</f>
        <v>1.5443721890150113E-3</v>
      </c>
    </row>
    <row r="10" spans="1:7" x14ac:dyDescent="0.2">
      <c r="A10" t="s">
        <v>7</v>
      </c>
      <c r="B10">
        <f>INTERCEPT(B5:B7,A5:A7)</f>
        <v>2.1958999383319799E-2</v>
      </c>
      <c r="E10" t="s">
        <v>7</v>
      </c>
      <c r="F10">
        <f>INTERCEPT(F5:F7,E5:E7)</f>
        <v>-9.9501437536910764E-3</v>
      </c>
    </row>
    <row r="13" spans="1:7" x14ac:dyDescent="0.2">
      <c r="C13" t="s">
        <v>10</v>
      </c>
      <c r="G13" t="s">
        <v>10</v>
      </c>
    </row>
    <row r="14" spans="1:7" x14ac:dyDescent="0.2">
      <c r="A14" t="s">
        <v>8</v>
      </c>
      <c r="B14">
        <f>271.5*B9+B10</f>
        <v>0.43723266311313391</v>
      </c>
      <c r="C14" s="1">
        <f>(B14-E1)/E1</f>
        <v>-8.4617317279186241E-2</v>
      </c>
      <c r="E14" t="s">
        <v>8</v>
      </c>
      <c r="F14">
        <f>289*F9+F10</f>
        <v>0.43637341887164721</v>
      </c>
      <c r="G14" s="1">
        <f>(F14-E1)/E1</f>
        <v>-8.6416216046913921E-2</v>
      </c>
    </row>
    <row r="15" spans="1:7" x14ac:dyDescent="0.2">
      <c r="A15" t="s">
        <v>9</v>
      </c>
      <c r="B15">
        <f>139.3*B9+B10</f>
        <v>0.23502574471504395</v>
      </c>
      <c r="C15" s="1">
        <f>(B15-E2)/E2</f>
        <v>0.27488971199208273</v>
      </c>
      <c r="E15" t="s">
        <v>9</v>
      </c>
      <c r="F15">
        <f>141*F9+F10</f>
        <v>0.20780633489742553</v>
      </c>
      <c r="G15" s="1">
        <f>(F15-E2)/E2</f>
        <v>0.12723888512180939</v>
      </c>
    </row>
    <row r="20" spans="1:2" x14ac:dyDescent="0.2">
      <c r="A20">
        <v>431</v>
      </c>
      <c r="B20">
        <f>A20*F9+F10</f>
        <v>0.65567426971177878</v>
      </c>
    </row>
    <row r="21" spans="1:2" x14ac:dyDescent="0.2">
      <c r="A21">
        <v>44.61</v>
      </c>
      <c r="B21">
        <f>A21*F9+F10</f>
        <v>5.8944299598268579E-2</v>
      </c>
    </row>
    <row r="22" spans="1:2" x14ac:dyDescent="0.2">
      <c r="B22" s="2">
        <f>B21/B20</f>
        <v>8.9898753574971471E-2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2024-11-08T08:44:57Z</dcterms:modified>
</cp:coreProperties>
</file>