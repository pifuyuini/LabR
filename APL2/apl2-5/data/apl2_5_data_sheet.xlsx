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光学元器件标定" sheetId="1" r:id="rId4"/>
    <sheet state="visible" name="光纤耦合" sheetId="2" r:id="rId5"/>
    <sheet state="visible" name="纠缠与对比度测量数据" sheetId="3" r:id="rId6"/>
    <sheet state="visible" name="CHSH" sheetId="4" r:id="rId7"/>
    <sheet state="visible" name="other group" sheetId="5" r:id="rId8"/>
  </sheets>
  <definedNames/>
  <calcPr/>
  <extLst>
    <ext uri="GoogleSheetsCustomDataVersion2">
      <go:sheetsCustomData xmlns:go="http://customooxmlschemas.google.com/" r:id="rId9" roundtripDataChecksum="c2BfHX2dKZA/U9rSi9ViasY134ACOaTastNfz3aXYJQ="/>
    </ext>
  </extLst>
</workbook>
</file>

<file path=xl/sharedStrings.xml><?xml version="1.0" encoding="utf-8"?>
<sst xmlns="http://schemas.openxmlformats.org/spreadsheetml/2006/main" count="138" uniqueCount="74">
  <si>
    <t>测试器件:PP-A</t>
  </si>
  <si>
    <t>极值点功率</t>
  </si>
  <si>
    <t>角度（°）</t>
  </si>
  <si>
    <t>H投射方向</t>
  </si>
  <si>
    <t>测试器件:PP-B</t>
  </si>
  <si>
    <t>入射光功率（mW）</t>
  </si>
  <si>
    <t>59°</t>
  </si>
  <si>
    <t>89°</t>
  </si>
  <si>
    <t>测试器件:QWP-A</t>
  </si>
  <si>
    <t>光轴角度</t>
  </si>
  <si>
    <t>20°</t>
  </si>
  <si>
    <t>344°</t>
  </si>
  <si>
    <t>测试器件:HWP-A</t>
  </si>
  <si>
    <t>测试器件:HWP-B</t>
  </si>
  <si>
    <t>36°</t>
  </si>
  <si>
    <t>67°</t>
  </si>
  <si>
    <t>测试器件:HWP-AP-283</t>
  </si>
  <si>
    <t>324°</t>
  </si>
  <si>
    <t>光路名称</t>
  </si>
  <si>
    <t>未放置光学元器件</t>
  </si>
  <si>
    <t>放置光学元器件</t>
  </si>
  <si>
    <t>前侧光功率(mw)</t>
  </si>
  <si>
    <t>后侧光功率(mw)</t>
  </si>
  <si>
    <t>A光路</t>
  </si>
  <si>
    <t>B光路</t>
  </si>
  <si>
    <t>NAN</t>
  </si>
  <si>
    <t>符合计数</t>
  </si>
  <si>
    <t>通道名称</t>
  </si>
  <si>
    <t>C1</t>
  </si>
  <si>
    <t>C2</t>
  </si>
  <si>
    <t>C3</t>
  </si>
  <si>
    <t>C4</t>
  </si>
  <si>
    <t>C5</t>
  </si>
  <si>
    <t>V_HV</t>
  </si>
  <si>
    <t>V_+-</t>
  </si>
  <si>
    <t>通道1</t>
  </si>
  <si>
    <t>通道2</t>
  </si>
  <si>
    <t>OUT</t>
  </si>
  <si>
    <t>有效测量</t>
  </si>
  <si>
    <t>裁判问题</t>
  </si>
  <si>
    <t>态操作对应的偏振旋转</t>
  </si>
  <si>
    <t>测量基</t>
  </si>
  <si>
    <t>HWP-A</t>
  </si>
  <si>
    <t>HWP-B</t>
  </si>
  <si>
    <t>胜率</t>
  </si>
  <si>
    <t>理论值</t>
  </si>
  <si>
    <t>实际值</t>
  </si>
  <si>
    <t>X = 0</t>
  </si>
  <si>
    <r>
      <rPr>
        <rFont val="等线"/>
        <color theme="1"/>
        <sz val="11.0"/>
      </rPr>
      <t xml:space="preserve"> θ</t>
    </r>
    <r>
      <rPr>
        <rFont val="等线"/>
        <color theme="1"/>
        <sz val="11.0"/>
        <vertAlign val="subscript"/>
      </rPr>
      <t xml:space="preserve">A0 </t>
    </r>
    <r>
      <rPr>
        <rFont val="等线"/>
        <color theme="1"/>
        <sz val="11.0"/>
      </rPr>
      <t>= 0</t>
    </r>
  </si>
  <si>
    <t>HH</t>
  </si>
  <si>
    <t>Y = 0</t>
  </si>
  <si>
    <r>
      <rPr>
        <rFont val="Calibri"/>
        <color theme="1"/>
      </rPr>
      <t>θ</t>
    </r>
    <r>
      <rPr>
        <rFont val="等线"/>
        <color theme="1"/>
        <sz val="11.0"/>
        <vertAlign val="subscript"/>
      </rPr>
      <t>B0</t>
    </r>
    <r>
      <rPr>
        <rFont val="等线"/>
        <color theme="1"/>
        <sz val="11.0"/>
      </rPr>
      <t xml:space="preserve"> = 22.5°</t>
    </r>
  </si>
  <si>
    <t>HV</t>
  </si>
  <si>
    <t>VH</t>
  </si>
  <si>
    <t>VV</t>
  </si>
  <si>
    <r>
      <rPr>
        <rFont val="等线"/>
        <color theme="1"/>
        <sz val="11.0"/>
      </rPr>
      <t xml:space="preserve"> θ</t>
    </r>
    <r>
      <rPr>
        <rFont val="等线"/>
        <color theme="1"/>
        <sz val="11.0"/>
        <vertAlign val="subscript"/>
      </rPr>
      <t xml:space="preserve">A0 </t>
    </r>
    <r>
      <rPr>
        <rFont val="等线"/>
        <color theme="1"/>
        <sz val="11.0"/>
      </rPr>
      <t>= 0</t>
    </r>
  </si>
  <si>
    <t>Y = 1</t>
  </si>
  <si>
    <r>
      <rPr>
        <rFont val="Calibri"/>
        <color theme="1"/>
      </rPr>
      <t>θ</t>
    </r>
    <r>
      <rPr>
        <rFont val="等线"/>
        <color theme="1"/>
        <sz val="11.0"/>
        <vertAlign val="subscript"/>
      </rPr>
      <t>B1</t>
    </r>
    <r>
      <rPr>
        <rFont val="等线"/>
        <color theme="1"/>
        <sz val="11.0"/>
      </rPr>
      <t xml:space="preserve"> = -22.5°</t>
    </r>
  </si>
  <si>
    <t>X = 1</t>
  </si>
  <si>
    <r>
      <rPr>
        <rFont val="等线"/>
        <color theme="1"/>
        <sz val="11.0"/>
      </rPr>
      <t xml:space="preserve"> θ</t>
    </r>
    <r>
      <rPr>
        <rFont val="等线"/>
        <color theme="1"/>
        <sz val="11.0"/>
        <vertAlign val="subscript"/>
      </rPr>
      <t xml:space="preserve">A1 </t>
    </r>
    <r>
      <rPr>
        <rFont val="等线"/>
        <color theme="1"/>
        <sz val="11.0"/>
      </rPr>
      <t>= 45°</t>
    </r>
  </si>
  <si>
    <r>
      <rPr>
        <rFont val="Calibri"/>
        <color theme="1"/>
      </rPr>
      <t>θ</t>
    </r>
    <r>
      <rPr>
        <rFont val="等线"/>
        <color theme="1"/>
        <sz val="11.0"/>
        <vertAlign val="subscript"/>
      </rPr>
      <t>B0</t>
    </r>
    <r>
      <rPr>
        <rFont val="等线"/>
        <color theme="1"/>
        <sz val="11.0"/>
      </rPr>
      <t xml:space="preserve"> = 22.5°</t>
    </r>
  </si>
  <si>
    <r>
      <rPr>
        <rFont val="等线"/>
        <color theme="1"/>
        <sz val="11.0"/>
      </rPr>
      <t xml:space="preserve"> θ</t>
    </r>
    <r>
      <rPr>
        <rFont val="等线"/>
        <color theme="1"/>
        <sz val="11.0"/>
        <vertAlign val="subscript"/>
      </rPr>
      <t xml:space="preserve">A1 </t>
    </r>
    <r>
      <rPr>
        <rFont val="等线"/>
        <color theme="1"/>
        <sz val="11.0"/>
      </rPr>
      <t>= 45°</t>
    </r>
  </si>
  <si>
    <r>
      <rPr>
        <rFont val="Calibri"/>
        <color theme="1"/>
      </rPr>
      <t>θ</t>
    </r>
    <r>
      <rPr>
        <rFont val="等线"/>
        <color theme="1"/>
        <sz val="11.0"/>
        <vertAlign val="subscript"/>
      </rPr>
      <t>B1</t>
    </r>
    <r>
      <rPr>
        <rFont val="等线"/>
        <color theme="1"/>
        <sz val="11.0"/>
      </rPr>
      <t xml:space="preserve"> = -22.5°</t>
    </r>
  </si>
  <si>
    <t>mean</t>
  </si>
  <si>
    <t>QWP-A</t>
  </si>
  <si>
    <t>QWP-B</t>
  </si>
  <si>
    <t>315°</t>
  </si>
  <si>
    <t>260°</t>
  </si>
  <si>
    <t>226°</t>
  </si>
  <si>
    <t>215°</t>
  </si>
  <si>
    <t>相反</t>
  </si>
  <si>
    <t>‘+45‘</t>
  </si>
  <si>
    <t>到</t>
  </si>
  <si>
    <t>‘-45‘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</si>
</sst>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等线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2" numFmtId="2" xfId="0" applyAlignment="1" applyFont="1" applyNumberFormat="1">
      <alignment vertical="center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vertical="bottom"/>
    </xf>
    <xf borderId="0" fillId="2" fontId="1" numFmtId="0" xfId="0" applyAlignment="1" applyFont="1">
      <alignment vertical="center"/>
    </xf>
    <xf borderId="0" fillId="2" fontId="1" numFmtId="10" xfId="0" applyAlignment="1" applyFont="1" applyNumberFormat="1">
      <alignment vertical="center"/>
    </xf>
    <xf borderId="0" fillId="3" fontId="1" numFmtId="0" xfId="0" applyAlignment="1" applyFill="1" applyFont="1">
      <alignment readingOrder="0" vertical="center"/>
    </xf>
    <xf borderId="0" fillId="3" fontId="1" numFmtId="0" xfId="0" applyAlignment="1" applyFont="1">
      <alignment vertical="center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2" numFmtId="10" xfId="0" applyAlignment="1" applyFont="1" applyNumberFormat="1">
      <alignment horizontal="center" vertical="center"/>
    </xf>
    <xf borderId="0" fillId="2" fontId="2" numFmtId="10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71"/>
    <col customWidth="1" min="3" max="3" width="10.29"/>
    <col customWidth="1" min="4" max="4" width="11.0"/>
    <col customWidth="1" min="5" max="5" width="19.86"/>
    <col customWidth="1" min="6" max="6" width="11.71"/>
    <col customWidth="1" min="7" max="7" width="10.29"/>
    <col customWidth="1" min="8" max="8" width="12.71"/>
    <col customWidth="1" min="9" max="9" width="21.14"/>
    <col customWidth="1" min="10" max="10" width="12.86"/>
    <col customWidth="1" min="11" max="11" width="8.71"/>
    <col customWidth="1" min="12" max="12" width="14.57"/>
    <col customWidth="1" min="13" max="13" width="21.29"/>
    <col customWidth="1" min="14" max="14" width="12.14"/>
    <col customWidth="1" min="15" max="15" width="8.71"/>
    <col customWidth="1" min="16" max="16" width="13.71"/>
    <col customWidth="1" min="17" max="17" width="24.43"/>
    <col customWidth="1" min="18" max="18" width="14.86"/>
    <col customWidth="1" min="19" max="19" width="10.57"/>
    <col customWidth="1" min="20" max="20" width="12.71"/>
    <col customWidth="1" min="21" max="28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</row>
    <row r="2" ht="13.5" customHeight="1">
      <c r="A2" s="2" t="s">
        <v>5</v>
      </c>
      <c r="B2" s="3">
        <v>18.0</v>
      </c>
      <c r="C2" s="1">
        <v>237.0</v>
      </c>
      <c r="D2" s="2" t="s">
        <v>6</v>
      </c>
      <c r="E2" s="2" t="s">
        <v>5</v>
      </c>
      <c r="F2" s="4">
        <v>18.7</v>
      </c>
      <c r="G2" s="1">
        <v>89.0</v>
      </c>
      <c r="H2" s="2" t="s">
        <v>7</v>
      </c>
    </row>
    <row r="3" ht="13.5" customHeight="1">
      <c r="B3" s="3">
        <v>0.056</v>
      </c>
      <c r="C3" s="1">
        <v>330.0</v>
      </c>
      <c r="F3" s="4">
        <v>0.0147</v>
      </c>
      <c r="G3" s="1">
        <v>182.0</v>
      </c>
    </row>
    <row r="4" ht="13.5" customHeight="1">
      <c r="B4" s="3">
        <v>18.2</v>
      </c>
      <c r="C4" s="1">
        <v>59.0</v>
      </c>
      <c r="F4" s="4">
        <v>18.6</v>
      </c>
      <c r="G4" s="1">
        <v>272.0</v>
      </c>
    </row>
    <row r="5" ht="13.5" customHeight="1">
      <c r="B5" s="3">
        <v>0.0564</v>
      </c>
      <c r="C5" s="1">
        <v>149.0</v>
      </c>
      <c r="F5" s="4">
        <v>0.0145</v>
      </c>
      <c r="G5" s="1">
        <v>0.0</v>
      </c>
    </row>
    <row r="6" ht="13.5" customHeight="1">
      <c r="A6" s="1" t="s">
        <v>8</v>
      </c>
      <c r="B6" s="4" t="s">
        <v>1</v>
      </c>
      <c r="C6" s="1" t="s">
        <v>2</v>
      </c>
      <c r="D6" s="1" t="s">
        <v>9</v>
      </c>
      <c r="E6" s="1" t="s">
        <v>4</v>
      </c>
      <c r="F6" s="4" t="s">
        <v>1</v>
      </c>
      <c r="G6" s="1" t="s">
        <v>2</v>
      </c>
      <c r="H6" s="1" t="s">
        <v>9</v>
      </c>
    </row>
    <row r="7" ht="13.5" customHeight="1">
      <c r="A7" s="2" t="s">
        <v>5</v>
      </c>
      <c r="B7" s="3">
        <v>13.32</v>
      </c>
      <c r="C7" s="1">
        <v>20.0</v>
      </c>
      <c r="D7" s="2" t="s">
        <v>10</v>
      </c>
      <c r="E7" s="2" t="s">
        <v>5</v>
      </c>
      <c r="F7" s="4">
        <v>12.99</v>
      </c>
      <c r="G7" s="1">
        <v>75.0</v>
      </c>
      <c r="H7" s="2" t="s">
        <v>11</v>
      </c>
    </row>
    <row r="8" ht="13.5" customHeight="1">
      <c r="B8" s="3">
        <v>6.79</v>
      </c>
      <c r="C8" s="1">
        <v>65.0</v>
      </c>
      <c r="F8" s="4">
        <v>6.52</v>
      </c>
      <c r="G8" s="1">
        <v>119.0</v>
      </c>
    </row>
    <row r="9" ht="13.5" customHeight="1">
      <c r="B9" s="3">
        <v>13.33</v>
      </c>
      <c r="C9" s="1">
        <v>111.0</v>
      </c>
      <c r="F9" s="4">
        <v>12.97</v>
      </c>
      <c r="G9" s="1">
        <v>163.0</v>
      </c>
    </row>
    <row r="10" ht="13.5" customHeight="1">
      <c r="B10" s="3">
        <v>6.73</v>
      </c>
      <c r="C10" s="1">
        <v>153.0</v>
      </c>
      <c r="F10" s="4">
        <v>6.72</v>
      </c>
      <c r="G10" s="1">
        <v>209.0</v>
      </c>
    </row>
    <row r="11" ht="13.5" customHeight="1">
      <c r="B11" s="3">
        <v>13.31</v>
      </c>
      <c r="C11" s="1">
        <v>200.0</v>
      </c>
      <c r="F11" s="4">
        <v>12.98</v>
      </c>
      <c r="G11" s="1">
        <v>254.0</v>
      </c>
    </row>
    <row r="12" ht="13.5" customHeight="1">
      <c r="B12" s="3">
        <v>6.81</v>
      </c>
      <c r="C12" s="1">
        <v>244.0</v>
      </c>
      <c r="F12" s="4">
        <v>6.55</v>
      </c>
      <c r="G12" s="1">
        <v>300.0</v>
      </c>
    </row>
    <row r="13" ht="13.5" customHeight="1">
      <c r="B13" s="3">
        <v>13.2</v>
      </c>
      <c r="C13" s="1">
        <v>290.0</v>
      </c>
      <c r="F13" s="4">
        <v>13.08</v>
      </c>
      <c r="G13" s="1">
        <v>344.0</v>
      </c>
    </row>
    <row r="14" ht="13.5" customHeight="1">
      <c r="B14" s="3">
        <v>6.68</v>
      </c>
      <c r="C14" s="1">
        <v>327.0</v>
      </c>
      <c r="F14" s="4">
        <v>6.64</v>
      </c>
      <c r="G14" s="1">
        <v>29.0</v>
      </c>
    </row>
    <row r="15" ht="13.5" customHeight="1">
      <c r="A15" s="1" t="s">
        <v>12</v>
      </c>
      <c r="B15" s="4" t="s">
        <v>1</v>
      </c>
      <c r="C15" s="1" t="s">
        <v>2</v>
      </c>
      <c r="D15" s="1" t="s">
        <v>9</v>
      </c>
      <c r="E15" s="1" t="s">
        <v>13</v>
      </c>
      <c r="F15" s="4" t="s">
        <v>1</v>
      </c>
      <c r="G15" s="1" t="s">
        <v>2</v>
      </c>
      <c r="H15" s="1" t="s">
        <v>9</v>
      </c>
    </row>
    <row r="16" ht="13.5" customHeight="1">
      <c r="A16" s="2" t="s">
        <v>5</v>
      </c>
      <c r="B16" s="3">
        <v>0.064</v>
      </c>
      <c r="C16" s="1">
        <v>171.0</v>
      </c>
      <c r="D16" s="2" t="s">
        <v>14</v>
      </c>
      <c r="E16" s="2" t="s">
        <v>5</v>
      </c>
      <c r="F16" s="3">
        <v>0.00972</v>
      </c>
      <c r="G16" s="1">
        <v>112.0</v>
      </c>
      <c r="H16" s="2" t="s">
        <v>15</v>
      </c>
    </row>
    <row r="17" ht="13.5" customHeight="1">
      <c r="B17" s="3">
        <v>13.42</v>
      </c>
      <c r="C17" s="1">
        <v>215.0</v>
      </c>
      <c r="F17" s="3">
        <v>3.79</v>
      </c>
      <c r="G17" s="1">
        <v>158.0</v>
      </c>
    </row>
    <row r="18" ht="13.5" customHeight="1">
      <c r="B18" s="3">
        <v>0.0729</v>
      </c>
      <c r="C18" s="1">
        <v>261.0</v>
      </c>
      <c r="F18" s="3">
        <v>0.00994</v>
      </c>
      <c r="G18" s="1">
        <v>203.0</v>
      </c>
    </row>
    <row r="19" ht="13.5" customHeight="1">
      <c r="B19" s="3">
        <v>13.5</v>
      </c>
      <c r="C19" s="1">
        <v>306.0</v>
      </c>
      <c r="F19" s="3">
        <v>3.82</v>
      </c>
      <c r="G19" s="1">
        <v>249.0</v>
      </c>
    </row>
    <row r="20" ht="13.5" customHeight="1">
      <c r="B20" s="3">
        <v>0.0743</v>
      </c>
      <c r="C20" s="1">
        <v>350.0</v>
      </c>
      <c r="F20" s="3">
        <v>0.00983</v>
      </c>
      <c r="G20" s="1">
        <v>292.0</v>
      </c>
    </row>
    <row r="21" ht="13.5" customHeight="1">
      <c r="B21" s="3">
        <v>13.52</v>
      </c>
      <c r="C21" s="1">
        <v>36.0</v>
      </c>
      <c r="F21" s="3">
        <v>3.82</v>
      </c>
      <c r="G21" s="1">
        <v>337.0</v>
      </c>
    </row>
    <row r="22" ht="13.5" customHeight="1">
      <c r="B22" s="3">
        <v>0.0758</v>
      </c>
      <c r="C22" s="1">
        <v>80.0</v>
      </c>
      <c r="F22" s="3">
        <v>0.00985</v>
      </c>
      <c r="G22" s="1">
        <v>22.0</v>
      </c>
    </row>
    <row r="23" ht="13.5" customHeight="1">
      <c r="B23" s="3">
        <v>13.34</v>
      </c>
      <c r="C23" s="1">
        <v>127.0</v>
      </c>
      <c r="F23" s="3">
        <v>3.79</v>
      </c>
      <c r="G23" s="1">
        <v>67.0</v>
      </c>
    </row>
    <row r="24" ht="13.5" customHeight="1"/>
    <row r="25" ht="13.5" customHeight="1"/>
    <row r="26" ht="13.5" customHeight="1">
      <c r="A26" s="1" t="s">
        <v>16</v>
      </c>
      <c r="B26" s="1" t="s">
        <v>1</v>
      </c>
      <c r="C26" s="1" t="s">
        <v>2</v>
      </c>
      <c r="D26" s="1" t="s">
        <v>9</v>
      </c>
    </row>
    <row r="27" ht="13.5" customHeight="1">
      <c r="A27" s="2" t="s">
        <v>5</v>
      </c>
      <c r="B27" s="1">
        <v>13.62</v>
      </c>
      <c r="C27" s="1">
        <v>324.0</v>
      </c>
      <c r="D27" s="2" t="s">
        <v>17</v>
      </c>
    </row>
    <row r="28" ht="13.5" customHeight="1">
      <c r="B28" s="1">
        <v>0.0559</v>
      </c>
      <c r="C28" s="1">
        <v>8.0</v>
      </c>
    </row>
    <row r="29" ht="13.5" customHeight="1">
      <c r="B29" s="1">
        <v>13.51</v>
      </c>
      <c r="C29" s="1">
        <v>52.0</v>
      </c>
    </row>
    <row r="30" ht="13.5" customHeight="1">
      <c r="B30" s="1">
        <v>0.0537</v>
      </c>
      <c r="C30" s="1">
        <v>98.0</v>
      </c>
    </row>
    <row r="31" ht="13.5" customHeight="1">
      <c r="B31" s="1">
        <v>13.46</v>
      </c>
      <c r="C31" s="1">
        <v>142.0</v>
      </c>
    </row>
    <row r="32" ht="13.5" customHeight="1">
      <c r="B32" s="1">
        <v>0.0564</v>
      </c>
      <c r="C32" s="1">
        <v>188.0</v>
      </c>
    </row>
    <row r="33" ht="13.5" customHeight="1">
      <c r="B33" s="1">
        <v>13.51</v>
      </c>
      <c r="C33" s="1">
        <v>233.0</v>
      </c>
    </row>
    <row r="34" ht="13.5" customHeight="1">
      <c r="B34" s="1">
        <v>0.0531</v>
      </c>
      <c r="C34" s="1">
        <v>278.0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">
    <mergeCell ref="A7:A14"/>
    <mergeCell ref="A16:A23"/>
    <mergeCell ref="D16:D23"/>
    <mergeCell ref="E16:E23"/>
    <mergeCell ref="H16:H23"/>
    <mergeCell ref="A27:A34"/>
    <mergeCell ref="D27:D34"/>
    <mergeCell ref="A2:A5"/>
    <mergeCell ref="D2:D5"/>
    <mergeCell ref="E2:E5"/>
    <mergeCell ref="H2:H5"/>
    <mergeCell ref="D7:D14"/>
    <mergeCell ref="E7:E14"/>
    <mergeCell ref="H7:H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5" width="14.57"/>
    <col customWidth="1" min="6" max="26" width="8.71"/>
  </cols>
  <sheetData>
    <row r="1" ht="13.5" customHeight="1">
      <c r="A1" s="2" t="s">
        <v>18</v>
      </c>
      <c r="B1" s="2" t="s">
        <v>19</v>
      </c>
      <c r="D1" s="2" t="s">
        <v>20</v>
      </c>
    </row>
    <row r="2" ht="13.5" customHeight="1">
      <c r="B2" s="1" t="s">
        <v>21</v>
      </c>
      <c r="C2" s="1" t="s">
        <v>22</v>
      </c>
      <c r="D2" s="1" t="s">
        <v>21</v>
      </c>
      <c r="E2" s="1" t="s">
        <v>22</v>
      </c>
    </row>
    <row r="3" ht="13.5" customHeight="1">
      <c r="A3" s="1" t="s">
        <v>23</v>
      </c>
      <c r="B3" s="5">
        <v>19.2</v>
      </c>
      <c r="C3" s="5">
        <v>22.9</v>
      </c>
      <c r="D3" s="1">
        <v>5.56</v>
      </c>
      <c r="E3" s="1">
        <v>6.82</v>
      </c>
    </row>
    <row r="4" ht="13.5" customHeight="1">
      <c r="A4" s="1" t="s">
        <v>24</v>
      </c>
      <c r="B4" s="5">
        <v>18.4</v>
      </c>
      <c r="C4" s="5">
        <v>21.5</v>
      </c>
      <c r="D4" s="1" t="s">
        <v>25</v>
      </c>
      <c r="E4" s="5">
        <v>8.0</v>
      </c>
    </row>
    <row r="5" ht="13.5" customHeight="1"/>
    <row r="6" ht="13.5" customHeight="1">
      <c r="A6" s="1" t="s">
        <v>23</v>
      </c>
      <c r="B6" s="2" t="s">
        <v>25</v>
      </c>
      <c r="D6" s="1">
        <v>4.86</v>
      </c>
      <c r="E6" s="1">
        <v>5.13</v>
      </c>
    </row>
    <row r="7" ht="13.5" customHeight="1">
      <c r="A7" s="1" t="s">
        <v>24</v>
      </c>
      <c r="D7" s="5">
        <v>5.4</v>
      </c>
      <c r="E7" s="5">
        <v>6.0</v>
      </c>
    </row>
    <row r="8" ht="13.5" customHeight="1"/>
    <row r="9" ht="13.5" customHeight="1"/>
    <row r="10" ht="13.5" customHeight="1">
      <c r="A10" s="1" t="s">
        <v>23</v>
      </c>
      <c r="B10" s="5">
        <v>7.2</v>
      </c>
      <c r="C10" s="5">
        <v>7.41</v>
      </c>
      <c r="D10" s="5">
        <v>4.8</v>
      </c>
      <c r="E10" s="5">
        <v>5.2</v>
      </c>
    </row>
    <row r="11" ht="13.5" customHeight="1">
      <c r="A11" s="1" t="s">
        <v>24</v>
      </c>
      <c r="B11" s="1">
        <v>4.45</v>
      </c>
      <c r="C11" s="1">
        <v>5.22</v>
      </c>
      <c r="D11" s="5">
        <v>6.9</v>
      </c>
      <c r="E11" s="5">
        <v>8.2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1:A2"/>
    <mergeCell ref="B1:C1"/>
    <mergeCell ref="D1:E1"/>
    <mergeCell ref="B6:C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B1" s="2" t="s">
        <v>26</v>
      </c>
    </row>
    <row r="2" ht="13.5" customHeight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H2" s="6" t="s">
        <v>33</v>
      </c>
      <c r="I2" s="6" t="s">
        <v>34</v>
      </c>
    </row>
    <row r="3" ht="13.5" customHeight="1">
      <c r="A3" s="1" t="s">
        <v>35</v>
      </c>
      <c r="B3" s="7">
        <v>28248.0</v>
      </c>
      <c r="C3" s="7">
        <v>34001.0</v>
      </c>
      <c r="D3" s="7">
        <v>32659.0</v>
      </c>
      <c r="E3" s="7">
        <v>32224.0</v>
      </c>
      <c r="F3" s="7">
        <v>32740.0</v>
      </c>
      <c r="H3" s="8"/>
      <c r="I3" s="8"/>
    </row>
    <row r="4" ht="13.5" customHeight="1">
      <c r="A4" s="1" t="s">
        <v>36</v>
      </c>
      <c r="B4" s="7">
        <v>10326.0</v>
      </c>
      <c r="C4" s="7">
        <v>10379.0</v>
      </c>
      <c r="D4" s="7">
        <v>10207.0</v>
      </c>
      <c r="E4" s="7">
        <v>10358.0</v>
      </c>
      <c r="F4" s="7">
        <v>10993.0</v>
      </c>
      <c r="H4" s="8"/>
      <c r="I4" s="8"/>
    </row>
    <row r="5" ht="13.5" customHeight="1">
      <c r="A5" s="1" t="s">
        <v>37</v>
      </c>
      <c r="B5" s="7">
        <v>1088.0</v>
      </c>
      <c r="C5" s="7">
        <v>1115.0</v>
      </c>
      <c r="D5" s="7">
        <v>225.0</v>
      </c>
      <c r="E5" s="7">
        <v>961.0</v>
      </c>
      <c r="F5" s="7">
        <v>349.0</v>
      </c>
      <c r="H5" s="9">
        <f>(B5-D5)/(B5+D5)</f>
        <v>0.6572734196</v>
      </c>
      <c r="I5" s="9">
        <f>(E5-F5)/(E5+F5)</f>
        <v>0.4671755725</v>
      </c>
    </row>
    <row r="6" ht="13.5" customHeight="1">
      <c r="H6" s="8"/>
      <c r="I6" s="8"/>
    </row>
    <row r="7" ht="13.5" customHeight="1">
      <c r="A7" s="1" t="s">
        <v>35</v>
      </c>
      <c r="B7" s="7">
        <v>29976.0</v>
      </c>
      <c r="C7" s="7">
        <v>29210.0</v>
      </c>
      <c r="D7" s="7">
        <v>26068.0</v>
      </c>
      <c r="E7" s="7">
        <v>28090.0</v>
      </c>
      <c r="F7" s="7">
        <v>27499.0</v>
      </c>
      <c r="H7" s="8"/>
      <c r="I7" s="8"/>
    </row>
    <row r="8" ht="13.5" customHeight="1">
      <c r="A8" s="1" t="s">
        <v>36</v>
      </c>
      <c r="B8" s="7">
        <v>13532.0</v>
      </c>
      <c r="C8" s="7">
        <v>12700.0</v>
      </c>
      <c r="D8" s="7">
        <v>13487.0</v>
      </c>
      <c r="E8" s="7">
        <v>13060.0</v>
      </c>
      <c r="F8" s="7">
        <v>12539.0</v>
      </c>
      <c r="H8" s="8"/>
      <c r="I8" s="8"/>
    </row>
    <row r="9" ht="13.5" customHeight="1">
      <c r="A9" s="1" t="s">
        <v>37</v>
      </c>
      <c r="B9" s="7">
        <v>1936.0</v>
      </c>
      <c r="C9" s="7">
        <v>1376.0</v>
      </c>
      <c r="D9" s="7">
        <v>63.0</v>
      </c>
      <c r="E9" s="7">
        <v>230.0</v>
      </c>
      <c r="F9" s="7">
        <v>1403.0</v>
      </c>
      <c r="H9" s="9">
        <f>(B9-D9)/(B9+D9)</f>
        <v>0.9369684842</v>
      </c>
      <c r="I9" s="9">
        <f>-(E9-F9)/(E9+F9)</f>
        <v>0.7183098592</v>
      </c>
    </row>
    <row r="10" ht="13.5" customHeight="1"/>
    <row r="11" ht="13.5" customHeight="1"/>
    <row r="12" ht="13.5" customHeight="1"/>
    <row r="13" ht="13.5" customHeight="1"/>
    <row r="14" ht="13.5" customHeight="1">
      <c r="A14" s="10" t="s">
        <v>38</v>
      </c>
      <c r="B14" s="11"/>
      <c r="C14" s="11"/>
      <c r="D14" s="11"/>
      <c r="E14" s="11"/>
      <c r="F14" s="11"/>
    </row>
    <row r="15" ht="13.5" customHeight="1">
      <c r="A15" s="11" t="s">
        <v>27</v>
      </c>
      <c r="B15" s="11" t="s">
        <v>28</v>
      </c>
      <c r="C15" s="11" t="s">
        <v>29</v>
      </c>
      <c r="D15" s="11" t="s">
        <v>30</v>
      </c>
      <c r="E15" s="11" t="s">
        <v>31</v>
      </c>
      <c r="F15" s="11" t="s">
        <v>32</v>
      </c>
    </row>
    <row r="16" ht="13.5" customHeight="1">
      <c r="A16" s="11" t="s">
        <v>35</v>
      </c>
      <c r="B16" s="12">
        <v>29976.0</v>
      </c>
      <c r="C16" s="12">
        <v>29210.0</v>
      </c>
      <c r="D16" s="12">
        <v>26068.0</v>
      </c>
      <c r="E16" s="12">
        <v>28090.0</v>
      </c>
      <c r="F16" s="12">
        <v>27499.0</v>
      </c>
    </row>
    <row r="17" ht="13.5" customHeight="1">
      <c r="A17" s="11" t="s">
        <v>36</v>
      </c>
      <c r="B17" s="12">
        <v>13532.0</v>
      </c>
      <c r="C17" s="12">
        <v>12700.0</v>
      </c>
      <c r="D17" s="12">
        <v>13487.0</v>
      </c>
      <c r="E17" s="12">
        <v>13060.0</v>
      </c>
      <c r="F17" s="12">
        <v>12539.0</v>
      </c>
    </row>
    <row r="18" ht="13.5" customHeight="1">
      <c r="A18" s="11" t="s">
        <v>37</v>
      </c>
      <c r="B18" s="12">
        <v>1936.0</v>
      </c>
      <c r="C18" s="12">
        <v>1376.0</v>
      </c>
      <c r="D18" s="12">
        <v>63.0</v>
      </c>
      <c r="E18" s="12">
        <v>230.0</v>
      </c>
      <c r="F18" s="12">
        <v>1403.0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26" width="8.71"/>
  </cols>
  <sheetData>
    <row r="1" ht="13.5" customHeight="1">
      <c r="A1" s="1" t="s">
        <v>39</v>
      </c>
      <c r="B1" s="1" t="s">
        <v>40</v>
      </c>
      <c r="C1" s="1" t="s">
        <v>41</v>
      </c>
      <c r="D1" s="2" t="s">
        <v>42</v>
      </c>
      <c r="F1" s="2" t="s">
        <v>43</v>
      </c>
      <c r="H1" s="1" t="s">
        <v>26</v>
      </c>
      <c r="I1" s="1" t="s">
        <v>44</v>
      </c>
    </row>
    <row r="2" ht="13.5" customHeight="1">
      <c r="D2" s="1" t="s">
        <v>45</v>
      </c>
      <c r="E2" s="1" t="s">
        <v>46</v>
      </c>
      <c r="F2" s="1" t="s">
        <v>45</v>
      </c>
      <c r="G2" s="1" t="s">
        <v>46</v>
      </c>
    </row>
    <row r="3" ht="13.5" customHeight="1">
      <c r="A3" s="1" t="s">
        <v>47</v>
      </c>
      <c r="B3" s="13" t="s">
        <v>48</v>
      </c>
      <c r="C3" s="1" t="s">
        <v>49</v>
      </c>
      <c r="D3" s="1">
        <v>0.0</v>
      </c>
      <c r="E3" s="1">
        <f t="shared" ref="E3:E18" si="1">D3+315</f>
        <v>315</v>
      </c>
      <c r="F3" s="1">
        <v>11.25</v>
      </c>
      <c r="G3" s="1">
        <f t="shared" ref="G3:G18" si="2">F3+226</f>
        <v>237.25</v>
      </c>
      <c r="H3" s="1">
        <v>1160.0</v>
      </c>
      <c r="I3" s="14">
        <v>0.7792</v>
      </c>
    </row>
    <row r="4" ht="13.5" customHeight="1">
      <c r="A4" s="1" t="s">
        <v>50</v>
      </c>
      <c r="B4" s="1" t="s">
        <v>51</v>
      </c>
      <c r="C4" s="1" t="s">
        <v>52</v>
      </c>
      <c r="D4" s="1">
        <v>0.0</v>
      </c>
      <c r="E4" s="1">
        <f t="shared" si="1"/>
        <v>315</v>
      </c>
      <c r="F4" s="1">
        <v>-33.75</v>
      </c>
      <c r="G4" s="1">
        <f t="shared" si="2"/>
        <v>192.25</v>
      </c>
      <c r="H4" s="1">
        <v>280.0</v>
      </c>
    </row>
    <row r="5" ht="13.5" customHeight="1">
      <c r="C5" s="1" t="s">
        <v>53</v>
      </c>
      <c r="D5" s="1">
        <v>-45.0</v>
      </c>
      <c r="E5" s="1">
        <f t="shared" si="1"/>
        <v>270</v>
      </c>
      <c r="F5" s="1">
        <v>11.25</v>
      </c>
      <c r="G5" s="1">
        <f t="shared" si="2"/>
        <v>237.25</v>
      </c>
      <c r="H5" s="1">
        <v>380.0</v>
      </c>
    </row>
    <row r="6" ht="13.5" customHeight="1">
      <c r="C6" s="1" t="s">
        <v>54</v>
      </c>
      <c r="D6" s="1">
        <v>-45.0</v>
      </c>
      <c r="E6" s="1">
        <f t="shared" si="1"/>
        <v>270</v>
      </c>
      <c r="F6" s="1">
        <v>-33.75</v>
      </c>
      <c r="G6" s="1">
        <f t="shared" si="2"/>
        <v>192.25</v>
      </c>
      <c r="H6" s="1">
        <v>1170.0</v>
      </c>
    </row>
    <row r="7" ht="13.5" customHeight="1">
      <c r="A7" s="1" t="s">
        <v>47</v>
      </c>
      <c r="B7" s="13" t="s">
        <v>55</v>
      </c>
      <c r="C7" s="1" t="s">
        <v>49</v>
      </c>
      <c r="D7" s="1">
        <v>0.0</v>
      </c>
      <c r="E7" s="1">
        <f t="shared" si="1"/>
        <v>315</v>
      </c>
      <c r="F7" s="1">
        <v>-11.25</v>
      </c>
      <c r="G7" s="1">
        <f t="shared" si="2"/>
        <v>214.75</v>
      </c>
      <c r="H7" s="1">
        <v>1180.0</v>
      </c>
      <c r="I7" s="14">
        <v>0.8721</v>
      </c>
    </row>
    <row r="8" ht="13.5" customHeight="1">
      <c r="A8" s="1" t="s">
        <v>56</v>
      </c>
      <c r="B8" s="1" t="s">
        <v>57</v>
      </c>
      <c r="C8" s="1" t="s">
        <v>52</v>
      </c>
      <c r="D8" s="1">
        <v>0.0</v>
      </c>
      <c r="E8" s="1">
        <f t="shared" si="1"/>
        <v>315</v>
      </c>
      <c r="F8" s="1">
        <v>-56.25</v>
      </c>
      <c r="G8" s="1">
        <f t="shared" si="2"/>
        <v>169.75</v>
      </c>
      <c r="H8" s="1">
        <v>200.0</v>
      </c>
    </row>
    <row r="9" ht="13.5" customHeight="1">
      <c r="C9" s="1" t="s">
        <v>53</v>
      </c>
      <c r="D9" s="1">
        <v>-45.0</v>
      </c>
      <c r="E9" s="1">
        <f t="shared" si="1"/>
        <v>270</v>
      </c>
      <c r="F9" s="1">
        <v>-11.25</v>
      </c>
      <c r="G9" s="1">
        <f t="shared" si="2"/>
        <v>214.75</v>
      </c>
      <c r="H9" s="1">
        <v>190.0</v>
      </c>
    </row>
    <row r="10" ht="13.5" customHeight="1">
      <c r="C10" s="1" t="s">
        <v>54</v>
      </c>
      <c r="D10" s="1">
        <v>-45.0</v>
      </c>
      <c r="E10" s="1">
        <f t="shared" si="1"/>
        <v>270</v>
      </c>
      <c r="F10" s="1">
        <v>-56.25</v>
      </c>
      <c r="G10" s="1">
        <f t="shared" si="2"/>
        <v>169.75</v>
      </c>
      <c r="H10" s="1">
        <v>1480.0</v>
      </c>
    </row>
    <row r="11" ht="13.5" customHeight="1">
      <c r="A11" s="1" t="s">
        <v>58</v>
      </c>
      <c r="B11" s="13" t="s">
        <v>59</v>
      </c>
      <c r="C11" s="1" t="s">
        <v>49</v>
      </c>
      <c r="D11" s="1">
        <v>22.5</v>
      </c>
      <c r="E11" s="1">
        <f t="shared" si="1"/>
        <v>337.5</v>
      </c>
      <c r="F11" s="1">
        <v>11.25</v>
      </c>
      <c r="G11" s="1">
        <f t="shared" si="2"/>
        <v>237.25</v>
      </c>
      <c r="H11" s="1">
        <v>1150.0</v>
      </c>
      <c r="I11" s="14">
        <v>0.7609</v>
      </c>
    </row>
    <row r="12" ht="13.5" customHeight="1">
      <c r="A12" s="1" t="s">
        <v>50</v>
      </c>
      <c r="B12" s="1" t="s">
        <v>60</v>
      </c>
      <c r="C12" s="1" t="s">
        <v>52</v>
      </c>
      <c r="D12" s="1">
        <v>22.5</v>
      </c>
      <c r="E12" s="1">
        <f t="shared" si="1"/>
        <v>337.5</v>
      </c>
      <c r="F12" s="1">
        <v>-33.75</v>
      </c>
      <c r="G12" s="1">
        <f t="shared" si="2"/>
        <v>192.25</v>
      </c>
      <c r="H12" s="1">
        <v>320.0</v>
      </c>
    </row>
    <row r="13" ht="13.5" customHeight="1">
      <c r="C13" s="1" t="s">
        <v>53</v>
      </c>
      <c r="D13" s="1">
        <v>-22.5</v>
      </c>
      <c r="E13" s="1">
        <f t="shared" si="1"/>
        <v>292.5</v>
      </c>
      <c r="F13" s="1">
        <v>11.25</v>
      </c>
      <c r="G13" s="1">
        <f t="shared" si="2"/>
        <v>237.25</v>
      </c>
      <c r="H13" s="1">
        <v>390.0</v>
      </c>
    </row>
    <row r="14" ht="13.5" customHeight="1">
      <c r="C14" s="1" t="s">
        <v>54</v>
      </c>
      <c r="D14" s="1">
        <v>-22.5</v>
      </c>
      <c r="E14" s="1">
        <f t="shared" si="1"/>
        <v>292.5</v>
      </c>
      <c r="F14" s="1">
        <v>-33.75</v>
      </c>
      <c r="G14" s="1">
        <f t="shared" si="2"/>
        <v>192.25</v>
      </c>
      <c r="H14" s="1">
        <v>1110.0</v>
      </c>
    </row>
    <row r="15" ht="13.5" customHeight="1">
      <c r="A15" s="1" t="s">
        <v>58</v>
      </c>
      <c r="B15" s="13" t="s">
        <v>61</v>
      </c>
      <c r="C15" s="1" t="s">
        <v>49</v>
      </c>
      <c r="D15" s="1">
        <v>22.5</v>
      </c>
      <c r="E15" s="1">
        <f t="shared" si="1"/>
        <v>337.5</v>
      </c>
      <c r="F15" s="1">
        <v>-11.25</v>
      </c>
      <c r="G15" s="1">
        <f t="shared" si="2"/>
        <v>214.75</v>
      </c>
      <c r="H15" s="1">
        <v>470.0</v>
      </c>
      <c r="I15" s="14">
        <v>0.6282</v>
      </c>
    </row>
    <row r="16" ht="13.5" customHeight="1">
      <c r="A16" s="1" t="s">
        <v>56</v>
      </c>
      <c r="B16" s="1" t="s">
        <v>62</v>
      </c>
      <c r="C16" s="1" t="s">
        <v>52</v>
      </c>
      <c r="D16" s="1">
        <v>22.5</v>
      </c>
      <c r="E16" s="1">
        <f t="shared" si="1"/>
        <v>337.5</v>
      </c>
      <c r="F16" s="1">
        <v>-56.25</v>
      </c>
      <c r="G16" s="1">
        <f t="shared" si="2"/>
        <v>169.75</v>
      </c>
      <c r="H16" s="1">
        <v>1080.0</v>
      </c>
    </row>
    <row r="17" ht="13.5" customHeight="1">
      <c r="C17" s="1" t="s">
        <v>53</v>
      </c>
      <c r="D17" s="1">
        <v>-22.5</v>
      </c>
      <c r="E17" s="1">
        <f t="shared" si="1"/>
        <v>292.5</v>
      </c>
      <c r="F17" s="1">
        <v>-11.25</v>
      </c>
      <c r="G17" s="1">
        <f t="shared" si="2"/>
        <v>214.75</v>
      </c>
      <c r="H17" s="1">
        <v>880.0</v>
      </c>
    </row>
    <row r="18" ht="13.5" customHeight="1">
      <c r="C18" s="1" t="s">
        <v>54</v>
      </c>
      <c r="D18" s="1">
        <v>-22.5</v>
      </c>
      <c r="E18" s="1">
        <f t="shared" si="1"/>
        <v>292.5</v>
      </c>
      <c r="F18" s="1">
        <v>-56.25</v>
      </c>
      <c r="G18" s="1">
        <f t="shared" si="2"/>
        <v>169.75</v>
      </c>
      <c r="H18" s="1">
        <v>690.0</v>
      </c>
    </row>
    <row r="19" ht="13.5" customHeight="1"/>
    <row r="20" ht="13.5" customHeight="1">
      <c r="H20" s="6" t="s">
        <v>63</v>
      </c>
      <c r="I20" s="15">
        <v>0.7601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D1:E1"/>
    <mergeCell ref="F1:G1"/>
    <mergeCell ref="I3:I6"/>
    <mergeCell ref="I7:I10"/>
    <mergeCell ref="I11:I14"/>
    <mergeCell ref="I15:I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6" width="8.71"/>
  </cols>
  <sheetData>
    <row r="1" ht="13.5" customHeight="1"/>
    <row r="2" ht="13.5" customHeight="1"/>
    <row r="3" ht="13.5" customHeight="1">
      <c r="A3" s="8" t="s">
        <v>42</v>
      </c>
      <c r="B3" s="8" t="s">
        <v>64</v>
      </c>
      <c r="C3" s="8" t="s">
        <v>43</v>
      </c>
      <c r="D3" s="8" t="s">
        <v>65</v>
      </c>
    </row>
    <row r="4" ht="13.5" customHeight="1">
      <c r="A4" s="8" t="s">
        <v>66</v>
      </c>
      <c r="B4" s="8" t="s">
        <v>67</v>
      </c>
      <c r="C4" s="8" t="s">
        <v>68</v>
      </c>
      <c r="D4" s="8" t="s">
        <v>69</v>
      </c>
    </row>
    <row r="5" ht="13.5" customHeight="1"/>
    <row r="6" ht="13.5" customHeight="1">
      <c r="A6" s="1" t="s">
        <v>70</v>
      </c>
      <c r="B6" s="1" t="s">
        <v>71</v>
      </c>
      <c r="C6" s="1" t="s">
        <v>72</v>
      </c>
      <c r="D6" s="1" t="s">
        <v>73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2025-03-09T05:42:29Z</dcterms:created>
  <dc:creator>鹏辉 戴</dc:creator>
</cp:coreProperties>
</file>