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物理实验课程\基础物理实验I\BC2 薄透镜焦距基本参数的测量\"/>
    </mc:Choice>
  </mc:AlternateContent>
  <xr:revisionPtr revIDLastSave="0" documentId="13_ncr:1_{47A80487-78DD-4CED-B13F-4655A9F94669}" xr6:coauthVersionLast="47" xr6:coauthVersionMax="47" xr10:uidLastSave="{00000000-0000-0000-0000-000000000000}"/>
  <bookViews>
    <workbookView xWindow="380" yWindow="380" windowWidth="20540" windowHeight="13780" firstSheet="1" activeTab="3" xr2:uid="{00000000-000D-0000-FFFF-FFFF00000000}"/>
  </bookViews>
  <sheets>
    <sheet name="简单测量会聚透镜的焦距" sheetId="1" r:id="rId1"/>
    <sheet name="自准法测会聚透镜的焦距" sheetId="2" r:id="rId2"/>
    <sheet name="物像放大法测汇聚透镜焦距" sheetId="3" r:id="rId3"/>
    <sheet name="误差分析计算表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3" l="1"/>
  <c r="E15" i="3"/>
  <c r="E14" i="3"/>
  <c r="E13" i="3"/>
  <c r="I18" i="2"/>
  <c r="E18" i="2"/>
  <c r="I17" i="2"/>
  <c r="E17" i="2"/>
  <c r="F13" i="1"/>
  <c r="J13" i="1"/>
  <c r="K13" i="1"/>
  <c r="E13" i="1"/>
  <c r="D12" i="3"/>
  <c r="D11" i="3"/>
  <c r="C12" i="3"/>
  <c r="E12" i="3"/>
  <c r="B12" i="3"/>
  <c r="E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I12" i="2"/>
  <c r="E12" i="2"/>
  <c r="I11" i="2"/>
  <c r="I10" i="2"/>
  <c r="E11" i="2"/>
  <c r="E10" i="2"/>
  <c r="I9" i="2"/>
  <c r="E9" i="2"/>
  <c r="I3" i="2"/>
  <c r="I4" i="2"/>
  <c r="I5" i="2"/>
  <c r="I6" i="2"/>
  <c r="I7" i="2"/>
  <c r="I8" i="2"/>
  <c r="I2" i="2"/>
  <c r="E3" i="2"/>
  <c r="E4" i="2"/>
  <c r="E5" i="2"/>
  <c r="E6" i="2"/>
  <c r="E7" i="2"/>
  <c r="E8" i="2"/>
  <c r="E2" i="2"/>
  <c r="J9" i="1"/>
  <c r="J12" i="1" s="1"/>
  <c r="K9" i="1"/>
  <c r="K12" i="1" s="1"/>
  <c r="J10" i="1"/>
  <c r="K10" i="1"/>
  <c r="J11" i="1"/>
  <c r="K11" i="1"/>
  <c r="F12" i="1"/>
  <c r="E12" i="1"/>
  <c r="F11" i="1"/>
  <c r="E11" i="1"/>
  <c r="F10" i="1"/>
  <c r="E10" i="1"/>
  <c r="F9" i="1"/>
  <c r="E9" i="1"/>
  <c r="J2" i="1" l="1"/>
  <c r="K2" i="1"/>
  <c r="J3" i="1"/>
  <c r="K3" i="1"/>
  <c r="J4" i="1"/>
  <c r="K4" i="1"/>
  <c r="J5" i="1"/>
  <c r="K5" i="1" s="1"/>
  <c r="J6" i="1"/>
  <c r="K6" i="1"/>
  <c r="J7" i="1"/>
  <c r="K7" i="1"/>
  <c r="J8" i="1"/>
  <c r="K8" i="1" s="1"/>
  <c r="F7" i="1"/>
  <c r="F8" i="1"/>
  <c r="F2" i="1"/>
  <c r="E3" i="1"/>
  <c r="F3" i="1" s="1"/>
  <c r="E4" i="1"/>
  <c r="F4" i="1" s="1"/>
  <c r="E5" i="1"/>
  <c r="F5" i="1" s="1"/>
  <c r="E6" i="1"/>
  <c r="F6" i="1" s="1"/>
  <c r="E7" i="1"/>
  <c r="E8" i="1"/>
  <c r="E2" i="1"/>
</calcChain>
</file>

<file path=xl/sharedStrings.xml><?xml version="1.0" encoding="utf-8"?>
<sst xmlns="http://schemas.openxmlformats.org/spreadsheetml/2006/main" count="41" uniqueCount="32">
  <si>
    <t>测量次序</t>
    <phoneticPr fontId="2" type="noConversion"/>
  </si>
  <si>
    <t>透镜位置u0/cm</t>
    <phoneticPr fontId="2" type="noConversion"/>
  </si>
  <si>
    <t>成像位置v/cm</t>
    <phoneticPr fontId="2" type="noConversion"/>
  </si>
  <si>
    <t>直接计算焦距f/cm</t>
    <phoneticPr fontId="2" type="noConversion"/>
  </si>
  <si>
    <t>采用公式修正后计算焦距f0/cm</t>
    <phoneticPr fontId="2" type="noConversion"/>
  </si>
  <si>
    <t>物方</t>
    <phoneticPr fontId="2" type="noConversion"/>
  </si>
  <si>
    <t>像方</t>
    <phoneticPr fontId="2" type="noConversion"/>
  </si>
  <si>
    <t>参考值：150mm</t>
    <phoneticPr fontId="2" type="noConversion"/>
  </si>
  <si>
    <t>均值</t>
    <phoneticPr fontId="2" type="noConversion"/>
  </si>
  <si>
    <t>标准差</t>
    <phoneticPr fontId="2" type="noConversion"/>
  </si>
  <si>
    <t>实验标准差</t>
    <phoneticPr fontId="2" type="noConversion"/>
  </si>
  <si>
    <t>相对实验标准差</t>
    <phoneticPr fontId="2" type="noConversion"/>
  </si>
  <si>
    <t>物屏位置A1/cm</t>
    <phoneticPr fontId="2" type="noConversion"/>
  </si>
  <si>
    <t>透镜位置A2/cm</t>
    <phoneticPr fontId="2" type="noConversion"/>
  </si>
  <si>
    <t>焦距f/cm</t>
    <phoneticPr fontId="2" type="noConversion"/>
  </si>
  <si>
    <t>物方焦距f/cm</t>
    <phoneticPr fontId="2" type="noConversion"/>
  </si>
  <si>
    <t>直接计算焦距f'/cm</t>
    <phoneticPr fontId="2" type="noConversion"/>
  </si>
  <si>
    <t>采用公式修正后计算焦距f'0/cm</t>
    <phoneticPr fontId="2" type="noConversion"/>
  </si>
  <si>
    <t>透镜位置u'0/cm</t>
    <phoneticPr fontId="2" type="noConversion"/>
  </si>
  <si>
    <t>成像位置v'/cm</t>
    <phoneticPr fontId="2" type="noConversion"/>
  </si>
  <si>
    <t>物屏位置B1/cm</t>
    <phoneticPr fontId="2" type="noConversion"/>
  </si>
  <si>
    <t>透镜位置B2/cm</t>
    <phoneticPr fontId="2" type="noConversion"/>
  </si>
  <si>
    <t>像方焦距f’/cm</t>
    <phoneticPr fontId="2" type="noConversion"/>
  </si>
  <si>
    <t>放大率m</t>
    <phoneticPr fontId="2" type="noConversion"/>
  </si>
  <si>
    <t>微尺相对位置a/cm</t>
    <phoneticPr fontId="2" type="noConversion"/>
  </si>
  <si>
    <t>读数显微镜相对位置b/cm</t>
    <phoneticPr fontId="2" type="noConversion"/>
  </si>
  <si>
    <t>Δm</t>
    <phoneticPr fontId="2" type="noConversion"/>
  </si>
  <si>
    <t>Δa/cm</t>
    <phoneticPr fontId="2" type="noConversion"/>
  </si>
  <si>
    <t>Δb/cm</t>
    <phoneticPr fontId="2" type="noConversion"/>
  </si>
  <si>
    <t>组别（两两组合中取了5组）</t>
    <phoneticPr fontId="2" type="noConversion"/>
  </si>
  <si>
    <t>参考值：30mm</t>
    <phoneticPr fontId="2" type="noConversion"/>
  </si>
  <si>
    <t>相对误差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</si>
</sst>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0.0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2" fontId="0" fillId="0" borderId="0" xfId="0" applyNumberFormat="1"/>
    <xf numFmtId="176" fontId="0" fillId="0" borderId="0" xfId="0" applyNumberFormat="1"/>
    <xf numFmtId="177" fontId="0" fillId="0" borderId="0" xfId="0" applyNumberFormat="1"/>
    <xf numFmtId="10" fontId="0" fillId="0" borderId="0" xfId="1" applyNumberFormat="1" applyFont="1" applyAlignment="1"/>
    <xf numFmtId="0" fontId="3" fillId="0" borderId="1" xfId="0" applyFont="1" applyBorder="1"/>
    <xf numFmtId="2" fontId="3" fillId="0" borderId="1" xfId="0" applyNumberFormat="1" applyFont="1" applyBorder="1"/>
    <xf numFmtId="0" fontId="4" fillId="0" borderId="1" xfId="0" applyFont="1" applyBorder="1"/>
    <xf numFmtId="177" fontId="3" fillId="0" borderId="1" xfId="0" applyNumberFormat="1" applyFont="1" applyBorder="1"/>
    <xf numFmtId="176" fontId="3" fillId="0" borderId="1" xfId="0" applyNumberFormat="1" applyFont="1" applyBorder="1"/>
    <xf numFmtId="178" fontId="3" fillId="0" borderId="1" xfId="0" applyNumberFormat="1" applyFont="1" applyBorder="1"/>
    <xf numFmtId="2" fontId="3" fillId="0" borderId="0" xfId="0" applyNumberFormat="1" applyFo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opLeftCell="D1" workbookViewId="0">
      <selection activeCell="J11" sqref="J11"/>
    </sheetView>
  </sheetViews>
  <sheetFormatPr defaultRowHeight="14" x14ac:dyDescent="0.3"/>
  <cols>
    <col min="1" max="11" width="25.6640625" customWidth="1"/>
  </cols>
  <sheetData>
    <row r="1" spans="1:11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18</v>
      </c>
      <c r="I1" t="s">
        <v>19</v>
      </c>
      <c r="J1" t="s">
        <v>16</v>
      </c>
      <c r="K1" t="s">
        <v>17</v>
      </c>
    </row>
    <row r="2" spans="1:11" x14ac:dyDescent="0.3">
      <c r="A2" t="s">
        <v>7</v>
      </c>
      <c r="B2">
        <v>1</v>
      </c>
      <c r="C2" s="1">
        <v>65</v>
      </c>
      <c r="D2" s="1">
        <v>83.9</v>
      </c>
      <c r="E2" s="2">
        <f>D2-C2</f>
        <v>18.900000000000006</v>
      </c>
      <c r="F2" s="1">
        <f>1/(1/C2+1/E2)</f>
        <v>14.642431466030994</v>
      </c>
      <c r="G2">
        <v>1</v>
      </c>
      <c r="H2" s="1">
        <v>65</v>
      </c>
      <c r="I2" s="1">
        <v>84.1</v>
      </c>
      <c r="J2" s="2">
        <f>I2-H2</f>
        <v>19.099999999999994</v>
      </c>
      <c r="K2" s="1">
        <f>1/(1/H2+1/J2)</f>
        <v>14.762187871581448</v>
      </c>
    </row>
    <row r="3" spans="1:11" x14ac:dyDescent="0.3">
      <c r="B3">
        <v>2</v>
      </c>
      <c r="C3" s="1">
        <v>60</v>
      </c>
      <c r="D3" s="1">
        <v>79.8</v>
      </c>
      <c r="E3" s="2">
        <f t="shared" ref="E3:E8" si="0">D3-C3</f>
        <v>19.799999999999997</v>
      </c>
      <c r="F3" s="1">
        <f t="shared" ref="F3:F8" si="1">1/(1/C3+1/E3)</f>
        <v>14.887218045112782</v>
      </c>
      <c r="G3">
        <v>2</v>
      </c>
      <c r="H3" s="1">
        <v>60</v>
      </c>
      <c r="I3" s="1">
        <v>79.5</v>
      </c>
      <c r="J3" s="2">
        <f t="shared" ref="J3:J8" si="2">I3-H3</f>
        <v>19.5</v>
      </c>
      <c r="K3" s="1">
        <f t="shared" ref="K3:K8" si="3">1/(1/H3+1/J3)</f>
        <v>14.716981132075473</v>
      </c>
    </row>
    <row r="4" spans="1:11" x14ac:dyDescent="0.3">
      <c r="B4">
        <v>3</v>
      </c>
      <c r="C4" s="1">
        <v>55</v>
      </c>
      <c r="D4" s="1">
        <v>75.45</v>
      </c>
      <c r="E4" s="2">
        <f t="shared" si="0"/>
        <v>20.450000000000003</v>
      </c>
      <c r="F4" s="1">
        <f t="shared" si="1"/>
        <v>14.907223326706429</v>
      </c>
      <c r="G4">
        <v>3</v>
      </c>
      <c r="H4" s="1">
        <v>55</v>
      </c>
      <c r="I4" s="1">
        <v>75.150000000000006</v>
      </c>
      <c r="J4" s="2">
        <f t="shared" si="2"/>
        <v>20.150000000000006</v>
      </c>
      <c r="K4" s="1">
        <f t="shared" si="3"/>
        <v>14.747172322022626</v>
      </c>
    </row>
    <row r="5" spans="1:11" x14ac:dyDescent="0.3">
      <c r="B5">
        <v>4</v>
      </c>
      <c r="C5" s="1">
        <v>50</v>
      </c>
      <c r="D5" s="1">
        <v>71.319999999999993</v>
      </c>
      <c r="E5" s="2">
        <f t="shared" si="0"/>
        <v>21.319999999999993</v>
      </c>
      <c r="F5" s="1">
        <f t="shared" si="1"/>
        <v>14.946719012899603</v>
      </c>
      <c r="G5">
        <v>4</v>
      </c>
      <c r="H5" s="1">
        <v>50</v>
      </c>
      <c r="I5" s="1">
        <v>70.91</v>
      </c>
      <c r="J5" s="2">
        <f t="shared" si="2"/>
        <v>20.909999999999997</v>
      </c>
      <c r="K5" s="1">
        <f t="shared" si="3"/>
        <v>14.744041743054574</v>
      </c>
    </row>
    <row r="6" spans="1:11" x14ac:dyDescent="0.3">
      <c r="B6">
        <v>5</v>
      </c>
      <c r="C6" s="1">
        <v>45</v>
      </c>
      <c r="D6" s="1">
        <v>67.5</v>
      </c>
      <c r="E6" s="2">
        <f t="shared" si="0"/>
        <v>22.5</v>
      </c>
      <c r="F6" s="1">
        <f t="shared" si="1"/>
        <v>15</v>
      </c>
      <c r="G6">
        <v>5</v>
      </c>
      <c r="H6" s="1">
        <v>45</v>
      </c>
      <c r="I6" s="1">
        <v>66.7</v>
      </c>
      <c r="J6" s="2">
        <f t="shared" si="2"/>
        <v>21.700000000000003</v>
      </c>
      <c r="K6" s="1">
        <f t="shared" si="3"/>
        <v>14.640179910044978</v>
      </c>
    </row>
    <row r="7" spans="1:11" x14ac:dyDescent="0.3">
      <c r="B7">
        <v>6</v>
      </c>
      <c r="C7" s="1">
        <v>40</v>
      </c>
      <c r="D7" s="1">
        <v>64.099999999999994</v>
      </c>
      <c r="E7" s="2">
        <f t="shared" si="0"/>
        <v>24.099999999999994</v>
      </c>
      <c r="F7" s="1">
        <f t="shared" si="1"/>
        <v>15.039001560062399</v>
      </c>
      <c r="G7">
        <v>6</v>
      </c>
      <c r="H7" s="1">
        <v>40</v>
      </c>
      <c r="I7" s="1">
        <v>63.2</v>
      </c>
      <c r="J7" s="2">
        <f t="shared" si="2"/>
        <v>23.200000000000003</v>
      </c>
      <c r="K7" s="1">
        <f t="shared" si="3"/>
        <v>14.683544303797468</v>
      </c>
    </row>
    <row r="8" spans="1:11" x14ac:dyDescent="0.3">
      <c r="B8">
        <v>7</v>
      </c>
      <c r="C8" s="1">
        <v>35</v>
      </c>
      <c r="D8" s="1">
        <v>61.3</v>
      </c>
      <c r="E8" s="2">
        <f t="shared" si="0"/>
        <v>26.299999999999997</v>
      </c>
      <c r="F8" s="1">
        <f t="shared" si="1"/>
        <v>15.0163132137031</v>
      </c>
      <c r="G8">
        <v>7</v>
      </c>
      <c r="H8" s="1">
        <v>35</v>
      </c>
      <c r="I8" s="1">
        <v>60.1</v>
      </c>
      <c r="J8" s="2">
        <f t="shared" si="2"/>
        <v>25.1</v>
      </c>
      <c r="K8" s="1">
        <f t="shared" si="3"/>
        <v>14.61730449251248</v>
      </c>
    </row>
    <row r="9" spans="1:11" x14ac:dyDescent="0.3">
      <c r="A9" t="s">
        <v>8</v>
      </c>
      <c r="E9" s="2">
        <f>AVERAGE(E2:E8)</f>
        <v>21.91</v>
      </c>
      <c r="F9" s="1">
        <f>AVERAGE(F2:F8)</f>
        <v>14.919843803502188</v>
      </c>
      <c r="G9" s="2"/>
      <c r="H9" s="1"/>
      <c r="I9" s="2"/>
      <c r="J9" s="1">
        <f t="shared" ref="J9:K9" si="4">AVERAGE(J2:J8)</f>
        <v>21.38</v>
      </c>
      <c r="K9" s="2">
        <f t="shared" si="4"/>
        <v>14.701630253584147</v>
      </c>
    </row>
    <row r="10" spans="1:11" x14ac:dyDescent="0.3">
      <c r="A10" t="s">
        <v>9</v>
      </c>
      <c r="E10" s="2">
        <f>_xlfn.STDEV.P(E2:E8)</f>
        <v>2.4026235660210991</v>
      </c>
      <c r="F10" s="1">
        <f>_xlfn.STDEV.P(F2:F8)</f>
        <v>0.12469020599434948</v>
      </c>
      <c r="G10" s="2"/>
      <c r="H10" s="1"/>
      <c r="I10" s="2"/>
      <c r="J10" s="1">
        <f t="shared" ref="J10:K10" si="5">_xlfn.STDEV.P(J2:J8)</f>
        <v>1.9899676953587551</v>
      </c>
      <c r="K10" s="2">
        <f t="shared" si="5"/>
        <v>5.2084778809993751E-2</v>
      </c>
    </row>
    <row r="11" spans="1:11" x14ac:dyDescent="0.3">
      <c r="A11" t="s">
        <v>10</v>
      </c>
      <c r="E11" s="1">
        <f>E10/SQRT(6)</f>
        <v>0.98086696345630409</v>
      </c>
      <c r="F11" s="1">
        <f>F10/SQRT(6)</f>
        <v>5.0904563434780101E-2</v>
      </c>
      <c r="G11" s="1"/>
      <c r="H11" s="1"/>
      <c r="I11" s="1"/>
      <c r="J11" s="1">
        <f t="shared" ref="J11:K11" si="6">J10/SQRT(6)</f>
        <v>0.81240090970852519</v>
      </c>
      <c r="K11" s="1">
        <f t="shared" si="6"/>
        <v>2.1263521908368388E-2</v>
      </c>
    </row>
    <row r="12" spans="1:11" x14ac:dyDescent="0.3">
      <c r="A12" t="s">
        <v>11</v>
      </c>
      <c r="E12" s="4">
        <f>E11/E9</f>
        <v>4.4768003809050848E-2</v>
      </c>
      <c r="F12" s="4">
        <f>F11/F9</f>
        <v>3.41186972901359E-3</v>
      </c>
      <c r="G12" s="4"/>
      <c r="H12" s="4"/>
      <c r="I12" s="4"/>
      <c r="J12" s="4">
        <f t="shared" ref="J12:K12" si="7">J11/J9</f>
        <v>3.7998171642119979E-2</v>
      </c>
      <c r="K12" s="4">
        <f t="shared" si="7"/>
        <v>1.4463376878346196E-3</v>
      </c>
    </row>
    <row r="13" spans="1:11" x14ac:dyDescent="0.3">
      <c r="A13" t="s">
        <v>31</v>
      </c>
      <c r="E13" s="4">
        <f>(E9-15)/15</f>
        <v>0.46066666666666667</v>
      </c>
      <c r="F13" s="4">
        <f t="shared" ref="F13:K13" si="8">(F9-15)/15</f>
        <v>-5.343746433187491E-3</v>
      </c>
      <c r="G13" s="4"/>
      <c r="H13" s="4"/>
      <c r="I13" s="4"/>
      <c r="J13" s="4">
        <f t="shared" si="8"/>
        <v>0.42533333333333329</v>
      </c>
      <c r="K13" s="4">
        <f t="shared" si="8"/>
        <v>-1.9891316427723519E-2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1026-560D-4907-80A3-A583DAD34036}">
  <dimension ref="A1:I18"/>
  <sheetViews>
    <sheetView topLeftCell="A4" workbookViewId="0">
      <selection activeCell="I9" sqref="I9"/>
    </sheetView>
  </sheetViews>
  <sheetFormatPr defaultRowHeight="14" x14ac:dyDescent="0.3"/>
  <cols>
    <col min="1" max="9" width="14.1640625" customWidth="1"/>
  </cols>
  <sheetData>
    <row r="1" spans="1:9" x14ac:dyDescent="0.3">
      <c r="A1" t="s">
        <v>0</v>
      </c>
      <c r="B1" t="s">
        <v>5</v>
      </c>
      <c r="C1" t="s">
        <v>12</v>
      </c>
      <c r="D1" t="s">
        <v>13</v>
      </c>
      <c r="E1" t="s">
        <v>15</v>
      </c>
      <c r="F1" t="s">
        <v>6</v>
      </c>
      <c r="G1" t="s">
        <v>20</v>
      </c>
      <c r="H1" t="s">
        <v>21</v>
      </c>
      <c r="I1" t="s">
        <v>22</v>
      </c>
    </row>
    <row r="2" spans="1:9" x14ac:dyDescent="0.3">
      <c r="A2" t="s">
        <v>7</v>
      </c>
      <c r="B2">
        <v>1</v>
      </c>
      <c r="C2" s="1">
        <v>30</v>
      </c>
      <c r="D2" s="1">
        <v>45.1</v>
      </c>
      <c r="E2" s="1">
        <f>D2-C2</f>
        <v>15.100000000000001</v>
      </c>
      <c r="F2">
        <v>1</v>
      </c>
      <c r="G2" s="1">
        <v>30</v>
      </c>
      <c r="H2" s="1">
        <v>45</v>
      </c>
      <c r="I2" s="1">
        <f>H2-G2</f>
        <v>15</v>
      </c>
    </row>
    <row r="3" spans="1:9" x14ac:dyDescent="0.3">
      <c r="B3">
        <v>2</v>
      </c>
      <c r="C3" s="1">
        <v>35</v>
      </c>
      <c r="D3" s="1">
        <v>49.8</v>
      </c>
      <c r="E3" s="1">
        <f t="shared" ref="E3:E8" si="0">D3-C3</f>
        <v>14.799999999999997</v>
      </c>
      <c r="F3">
        <v>2</v>
      </c>
      <c r="G3" s="1">
        <v>35</v>
      </c>
      <c r="H3" s="1">
        <v>49.5</v>
      </c>
      <c r="I3" s="1">
        <f t="shared" ref="I3:I8" si="1">H3-G3</f>
        <v>14.5</v>
      </c>
    </row>
    <row r="4" spans="1:9" x14ac:dyDescent="0.3">
      <c r="B4">
        <v>3</v>
      </c>
      <c r="C4" s="1">
        <v>40</v>
      </c>
      <c r="D4" s="1">
        <v>55.1</v>
      </c>
      <c r="E4" s="1">
        <f t="shared" si="0"/>
        <v>15.100000000000001</v>
      </c>
      <c r="F4">
        <v>3</v>
      </c>
      <c r="G4" s="1">
        <v>40</v>
      </c>
      <c r="H4" s="1">
        <v>54.9</v>
      </c>
      <c r="I4" s="1">
        <f t="shared" si="1"/>
        <v>14.899999999999999</v>
      </c>
    </row>
    <row r="5" spans="1:9" x14ac:dyDescent="0.3">
      <c r="B5">
        <v>4</v>
      </c>
      <c r="C5" s="1">
        <v>45</v>
      </c>
      <c r="D5" s="1">
        <v>60.05</v>
      </c>
      <c r="E5" s="1">
        <f t="shared" si="0"/>
        <v>15.049999999999997</v>
      </c>
      <c r="F5">
        <v>4</v>
      </c>
      <c r="G5" s="1">
        <v>45</v>
      </c>
      <c r="H5" s="1">
        <v>60</v>
      </c>
      <c r="I5" s="1">
        <f t="shared" si="1"/>
        <v>15</v>
      </c>
    </row>
    <row r="6" spans="1:9" x14ac:dyDescent="0.3">
      <c r="B6">
        <v>5</v>
      </c>
      <c r="C6" s="1">
        <v>50</v>
      </c>
      <c r="D6" s="1">
        <v>65.03</v>
      </c>
      <c r="E6" s="1">
        <f t="shared" si="0"/>
        <v>15.030000000000001</v>
      </c>
      <c r="F6">
        <v>5</v>
      </c>
      <c r="G6" s="1">
        <v>50</v>
      </c>
      <c r="H6" s="1">
        <v>65.010000000000005</v>
      </c>
      <c r="I6" s="1">
        <f t="shared" si="1"/>
        <v>15.010000000000005</v>
      </c>
    </row>
    <row r="7" spans="1:9" x14ac:dyDescent="0.3">
      <c r="B7">
        <v>6</v>
      </c>
      <c r="C7" s="1">
        <v>55</v>
      </c>
      <c r="D7" s="1">
        <v>70.3</v>
      </c>
      <c r="E7" s="1">
        <f t="shared" si="0"/>
        <v>15.299999999999997</v>
      </c>
      <c r="F7">
        <v>6</v>
      </c>
      <c r="G7" s="1">
        <v>55</v>
      </c>
      <c r="H7" s="1">
        <v>70</v>
      </c>
      <c r="I7" s="1">
        <f t="shared" si="1"/>
        <v>15</v>
      </c>
    </row>
    <row r="8" spans="1:9" x14ac:dyDescent="0.3">
      <c r="B8">
        <v>7</v>
      </c>
      <c r="C8" s="1">
        <v>60</v>
      </c>
      <c r="D8" s="1">
        <v>74.930000000000007</v>
      </c>
      <c r="E8" s="1">
        <f t="shared" si="0"/>
        <v>14.930000000000007</v>
      </c>
      <c r="F8">
        <v>7</v>
      </c>
      <c r="G8" s="1">
        <v>60</v>
      </c>
      <c r="H8" s="1">
        <v>75</v>
      </c>
      <c r="I8" s="1">
        <f t="shared" si="1"/>
        <v>15</v>
      </c>
    </row>
    <row r="9" spans="1:9" x14ac:dyDescent="0.3">
      <c r="A9" t="s">
        <v>8</v>
      </c>
      <c r="E9" s="1">
        <f>AVERAGE(E2:E8)</f>
        <v>15.044285714285715</v>
      </c>
      <c r="I9" s="1">
        <f>AVERAGE(I2:I8)</f>
        <v>14.915714285714285</v>
      </c>
    </row>
    <row r="10" spans="1:9" x14ac:dyDescent="0.3">
      <c r="A10" t="s">
        <v>9</v>
      </c>
      <c r="E10" s="1">
        <f>_xlfn.STDEV.P(E2:E8)</f>
        <v>0.14371172959953407</v>
      </c>
      <c r="I10" s="1">
        <f>_xlfn.STDEV.P(I2:I8)</f>
        <v>0.17335818764768496</v>
      </c>
    </row>
    <row r="11" spans="1:9" x14ac:dyDescent="0.3">
      <c r="A11" t="s">
        <v>10</v>
      </c>
      <c r="E11" s="1">
        <f>E10/SQRT(6)</f>
        <v>5.8670067928614733E-2</v>
      </c>
      <c r="I11" s="1">
        <f>I10/SQRT(6)</f>
        <v>7.0773183745080959E-2</v>
      </c>
    </row>
    <row r="12" spans="1:9" x14ac:dyDescent="0.3">
      <c r="A12" t="s">
        <v>11</v>
      </c>
      <c r="E12" s="4">
        <f>E11/E8</f>
        <v>3.9296763515482055E-3</v>
      </c>
      <c r="I12" s="4">
        <f>I11/I9</f>
        <v>4.7448739221872113E-3</v>
      </c>
    </row>
    <row r="17" spans="1:9" x14ac:dyDescent="0.3">
      <c r="A17">
        <v>0.57740000000000002</v>
      </c>
      <c r="E17" s="1">
        <f>SQRT(E11^2+A17^2)</f>
        <v>0.5803731014362643</v>
      </c>
      <c r="I17" s="1">
        <f>SQRT(I11^2+A17^2)</f>
        <v>0.58172124212324838</v>
      </c>
    </row>
    <row r="18" spans="1:9" x14ac:dyDescent="0.3">
      <c r="A18">
        <v>2.4700000000000002</v>
      </c>
      <c r="E18" s="1">
        <f>E17*A18</f>
        <v>1.4335215605475728</v>
      </c>
      <c r="I18" s="1">
        <f>A18*I17</f>
        <v>1.4368514680444235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0E75-DCFC-4DAF-A15E-FDA1E6D85E3D}">
  <dimension ref="A1:F16"/>
  <sheetViews>
    <sheetView workbookViewId="0">
      <selection activeCell="E15" sqref="E15"/>
    </sheetView>
  </sheetViews>
  <sheetFormatPr defaultRowHeight="14" x14ac:dyDescent="0.3"/>
  <cols>
    <col min="1" max="5" width="37.9140625" customWidth="1"/>
    <col min="6" max="8" width="21.25" customWidth="1"/>
  </cols>
  <sheetData>
    <row r="1" spans="1:6" ht="32.5" customHeight="1" x14ac:dyDescent="0.45">
      <c r="A1" s="7" t="s">
        <v>0</v>
      </c>
      <c r="B1" s="7" t="s">
        <v>23</v>
      </c>
      <c r="C1" s="7" t="s">
        <v>24</v>
      </c>
      <c r="D1" s="7" t="s">
        <v>25</v>
      </c>
      <c r="E1" s="7" t="s">
        <v>30</v>
      </c>
    </row>
    <row r="2" spans="1:6" ht="32.5" customHeight="1" x14ac:dyDescent="0.45">
      <c r="A2" s="7">
        <v>1</v>
      </c>
      <c r="B2" s="6">
        <v>2.6</v>
      </c>
      <c r="C2" s="6">
        <v>0.42</v>
      </c>
      <c r="D2" s="5">
        <v>68.400000000000006</v>
      </c>
      <c r="E2" s="5"/>
    </row>
    <row r="3" spans="1:6" ht="32.5" customHeight="1" x14ac:dyDescent="0.45">
      <c r="A3" s="7">
        <v>2</v>
      </c>
      <c r="B3" s="6">
        <v>2.4</v>
      </c>
      <c r="C3" s="6">
        <v>1.18</v>
      </c>
      <c r="D3" s="5">
        <v>53.6</v>
      </c>
      <c r="E3" s="8"/>
      <c r="F3" s="2"/>
    </row>
    <row r="4" spans="1:6" ht="32.5" customHeight="1" x14ac:dyDescent="0.45">
      <c r="A4" s="7">
        <v>3</v>
      </c>
      <c r="B4" s="6">
        <v>1.65</v>
      </c>
      <c r="C4" s="6">
        <v>1.82</v>
      </c>
      <c r="D4" s="5">
        <v>50.5</v>
      </c>
      <c r="E4" s="8"/>
      <c r="F4" s="2"/>
    </row>
    <row r="5" spans="1:6" ht="32.5" customHeight="1" x14ac:dyDescent="0.45">
      <c r="A5" s="7">
        <v>4</v>
      </c>
      <c r="B5" s="6">
        <v>1.36</v>
      </c>
      <c r="C5" s="6">
        <v>2.5</v>
      </c>
      <c r="D5" s="5">
        <v>48.9</v>
      </c>
      <c r="E5" s="8"/>
      <c r="F5" s="2"/>
    </row>
    <row r="6" spans="1:6" ht="32.5" customHeight="1" x14ac:dyDescent="0.45">
      <c r="A6" s="7">
        <v>5</v>
      </c>
      <c r="B6" s="6">
        <v>0.92</v>
      </c>
      <c r="C6" s="6">
        <v>3</v>
      </c>
      <c r="D6" s="5">
        <v>48.3</v>
      </c>
      <c r="E6" s="8"/>
      <c r="F6" s="2"/>
    </row>
    <row r="7" spans="1:6" ht="32.5" customHeight="1" x14ac:dyDescent="0.45">
      <c r="A7" s="7" t="s">
        <v>29</v>
      </c>
      <c r="B7" s="7" t="s">
        <v>26</v>
      </c>
      <c r="C7" s="7" t="s">
        <v>27</v>
      </c>
      <c r="D7" s="7" t="s">
        <v>28</v>
      </c>
      <c r="E7" s="7" t="s">
        <v>14</v>
      </c>
    </row>
    <row r="8" spans="1:6" ht="32.5" customHeight="1" x14ac:dyDescent="0.45">
      <c r="A8" s="7">
        <v>1</v>
      </c>
      <c r="B8" s="9">
        <f t="shared" ref="B8:D9" si="0">B4-B3</f>
        <v>-0.75</v>
      </c>
      <c r="C8" s="9">
        <f t="shared" si="0"/>
        <v>0.64000000000000012</v>
      </c>
      <c r="D8" s="10">
        <f t="shared" si="0"/>
        <v>-3.1000000000000014</v>
      </c>
      <c r="E8" s="6">
        <f>(D8+C8)/B8</f>
        <v>3.2800000000000016</v>
      </c>
    </row>
    <row r="9" spans="1:6" ht="32.5" customHeight="1" x14ac:dyDescent="0.45">
      <c r="A9" s="7">
        <v>2</v>
      </c>
      <c r="B9" s="9">
        <f t="shared" si="0"/>
        <v>-0.28999999999999981</v>
      </c>
      <c r="C9" s="9">
        <f t="shared" si="0"/>
        <v>0.67999999999999994</v>
      </c>
      <c r="D9" s="10">
        <f t="shared" si="0"/>
        <v>-1.6000000000000014</v>
      </c>
      <c r="E9" s="6">
        <f>(D9+C9)/B9</f>
        <v>3.1724137931034555</v>
      </c>
    </row>
    <row r="10" spans="1:6" ht="32.5" customHeight="1" x14ac:dyDescent="0.45">
      <c r="A10" s="7">
        <v>3</v>
      </c>
      <c r="B10" s="9">
        <f>B5-B3</f>
        <v>-1.0399999999999998</v>
      </c>
      <c r="C10" s="9">
        <f>C5-C3</f>
        <v>1.32</v>
      </c>
      <c r="D10" s="10">
        <f>D5-D3</f>
        <v>-4.7000000000000028</v>
      </c>
      <c r="E10" s="6">
        <f>(D10+C10)/B10</f>
        <v>3.2500000000000031</v>
      </c>
    </row>
    <row r="11" spans="1:6" ht="32.5" customHeight="1" x14ac:dyDescent="0.45">
      <c r="A11" s="7">
        <v>4</v>
      </c>
      <c r="B11" s="9">
        <f>B6-B2</f>
        <v>-1.6800000000000002</v>
      </c>
      <c r="C11" s="9">
        <f>C6-C2</f>
        <v>2.58</v>
      </c>
      <c r="D11" s="10">
        <f>D6-D2</f>
        <v>-20.100000000000009</v>
      </c>
      <c r="E11" s="6">
        <f>(D11+C11)/B11</f>
        <v>10.428571428571434</v>
      </c>
    </row>
    <row r="12" spans="1:6" ht="32.5" customHeight="1" x14ac:dyDescent="0.45">
      <c r="A12" s="7">
        <v>5</v>
      </c>
      <c r="B12" s="9">
        <f>B5-B2</f>
        <v>-1.24</v>
      </c>
      <c r="C12" s="9">
        <f>C5-C2</f>
        <v>2.08</v>
      </c>
      <c r="D12" s="10">
        <f>D5-D2</f>
        <v>-19.500000000000007</v>
      </c>
      <c r="E12" s="6">
        <f>(D12+C12)/B12</f>
        <v>14.048387096774201</v>
      </c>
    </row>
    <row r="13" spans="1:6" x14ac:dyDescent="0.3">
      <c r="B13" s="2"/>
      <c r="C13" s="3"/>
      <c r="E13" s="1">
        <f>AVERAGE(E8:E10)</f>
        <v>3.2341379310344869</v>
      </c>
    </row>
    <row r="14" spans="1:6" ht="22.5" x14ac:dyDescent="0.45">
      <c r="E14" s="11">
        <f>_xlfn.STDEV.P(E8:E10)</f>
        <v>4.5331386496162557E-2</v>
      </c>
    </row>
    <row r="15" spans="1:6" x14ac:dyDescent="0.3">
      <c r="E15" s="1">
        <f>E14/SQRT(2)</f>
        <v>3.2054130792024828E-2</v>
      </c>
    </row>
    <row r="16" spans="1:6" x14ac:dyDescent="0.3">
      <c r="E16" s="4">
        <f>(E13-2.9)/2.9</f>
        <v>0.11521997621878861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7DC5-F6B8-4607-8B42-B30209CAF947}">
  <dimension ref="A1"/>
  <sheetViews>
    <sheetView tabSelected="1" workbookViewId="0">
      <selection activeCell="L27" sqref="L27"/>
    </sheetView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简单测量会聚透镜的焦距</vt:lpstr>
      <vt:lpstr>自准法测会聚透镜的焦距</vt:lpstr>
      <vt:lpstr>物像放大法测汇聚透镜焦距</vt:lpstr>
      <vt:lpstr>误差分析计算表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yangshuyun</dc:creator>
  <cp:lastModifiedBy>舒云 杨</cp:lastModifiedBy>
  <dcterms:created xsi:type="dcterms:W3CDTF">2015-06-05T18:19:34Z</dcterms:created>
  <dcterms:modified xsi:type="dcterms:W3CDTF">2025-07-17T13:13:05Z</dcterms:modified>
</cp:coreProperties>
</file>