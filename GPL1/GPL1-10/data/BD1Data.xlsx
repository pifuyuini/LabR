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DA681B3E-4DFA-4A56-A698-E36369628F20}" xr6:coauthVersionLast="47" xr6:coauthVersionMax="47" xr10:uidLastSave="{00000000-0000-0000-0000-000000000000}"/>
  <bookViews>
    <workbookView xWindow="2610" yWindow="1840" windowWidth="19200" windowHeight="11170" activeTab="1" xr2:uid="{00000000-000D-0000-FFFF-FFFF00000000}"/>
  </bookViews>
  <sheets>
    <sheet name="重物质量" sheetId="1" r:id="rId1"/>
    <sheet name="计算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/>
  <c r="A3" i="2"/>
  <c r="C2" i="2" s="1"/>
  <c r="C4" i="2" s="1"/>
  <c r="A7" i="2"/>
  <c r="A9" i="2"/>
  <c r="A11" i="2"/>
  <c r="C6" i="2" s="1"/>
  <c r="A13" i="2"/>
  <c r="C8" i="2" s="1"/>
  <c r="H2" i="1"/>
  <c r="G2" i="1"/>
</calcChain>
</file>

<file path=xl/sharedStrings.xml><?xml version="1.0" encoding="utf-8"?>
<sst xmlns="http://schemas.openxmlformats.org/spreadsheetml/2006/main" count="12" uniqueCount="12">
  <si>
    <t>测量序号</t>
    <phoneticPr fontId="1" type="noConversion"/>
  </si>
  <si>
    <t>重物质量/g</t>
    <phoneticPr fontId="1" type="noConversion"/>
  </si>
  <si>
    <t>均值</t>
    <phoneticPr fontId="1" type="noConversion"/>
  </si>
  <si>
    <t>实验标准差</t>
    <phoneticPr fontId="1" type="noConversion"/>
  </si>
  <si>
    <t>m0</t>
    <phoneticPr fontId="1" type="noConversion"/>
  </si>
  <si>
    <t>r</t>
    <phoneticPr fontId="1" type="noConversion"/>
  </si>
  <si>
    <t>I</t>
    <phoneticPr fontId="1" type="noConversion"/>
  </si>
  <si>
    <t>eta</t>
    <phoneticPr fontId="1" type="noConversion"/>
  </si>
  <si>
    <t>c</t>
    <phoneticPr fontId="1" type="noConversion"/>
  </si>
  <si>
    <t>mu</t>
    <phoneticPr fontId="1" type="noConversion"/>
  </si>
  <si>
    <t>omega</t>
    <phoneticPr fontId="1" type="noConversion"/>
  </si>
  <si>
    <t>omega0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</si>
</sst>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sqref="A1:H2"/>
    </sheetView>
  </sheetViews>
  <sheetFormatPr defaultRowHeight="14" x14ac:dyDescent="0.3"/>
  <sheetData>
    <row r="1" spans="1:8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 t="s">
        <v>2</v>
      </c>
      <c r="H1" t="s">
        <v>3</v>
      </c>
    </row>
    <row r="2" spans="1:8" x14ac:dyDescent="0.3">
      <c r="A2" t="s">
        <v>1</v>
      </c>
      <c r="B2">
        <v>45.94</v>
      </c>
      <c r="C2">
        <v>45.96</v>
      </c>
      <c r="D2">
        <v>45.95</v>
      </c>
      <c r="E2">
        <v>45.07</v>
      </c>
      <c r="F2">
        <v>45.96</v>
      </c>
      <c r="G2" s="1">
        <f>AVERAGE(B2:F2)</f>
        <v>45.776000000000003</v>
      </c>
      <c r="H2" s="1">
        <f>_xlfn.STDEV.P(B2:F2)/2</f>
        <v>0.17653894754416097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BB7B-F13C-4111-92CF-2F5003E18FCE}">
  <dimension ref="A1:D13"/>
  <sheetViews>
    <sheetView tabSelected="1" workbookViewId="0">
      <selection activeCell="C8" sqref="C8"/>
    </sheetView>
  </sheetViews>
  <sheetFormatPr defaultRowHeight="14" x14ac:dyDescent="0.3"/>
  <sheetData>
    <row r="1" spans="1:4" x14ac:dyDescent="0.3">
      <c r="A1">
        <f>45.78/1000</f>
        <v>4.5780000000000001E-2</v>
      </c>
      <c r="C1" t="s">
        <v>11</v>
      </c>
    </row>
    <row r="2" spans="1:4" x14ac:dyDescent="0.3">
      <c r="A2">
        <v>9.8000000000000007</v>
      </c>
      <c r="C2">
        <f>SQRT((A1*A2*A3-A7)/(A9+A1*A3*A3))</f>
        <v>1.144921375795412</v>
      </c>
    </row>
    <row r="3" spans="1:4" x14ac:dyDescent="0.3">
      <c r="A3">
        <f>6/100</f>
        <v>0.06</v>
      </c>
      <c r="C3" t="s">
        <v>10</v>
      </c>
      <c r="D3">
        <v>0.34250000000000003</v>
      </c>
    </row>
    <row r="4" spans="1:4" x14ac:dyDescent="0.3">
      <c r="A4">
        <v>0.69499999999999995</v>
      </c>
      <c r="C4">
        <f>D3/C2</f>
        <v>0.29914717922185247</v>
      </c>
    </row>
    <row r="5" spans="1:4" x14ac:dyDescent="0.3">
      <c r="A5">
        <v>0.76800000000000002</v>
      </c>
      <c r="C5" t="s">
        <v>9</v>
      </c>
    </row>
    <row r="6" spans="1:4" x14ac:dyDescent="0.3">
      <c r="A6" t="s">
        <v>8</v>
      </c>
      <c r="C6">
        <f>A11/SQRT((A1*A2*A3-A7)*(A9+A1*A3*A3))</f>
        <v>0.13274626534243444</v>
      </c>
    </row>
    <row r="7" spans="1:4" x14ac:dyDescent="0.3">
      <c r="A7">
        <f>A1*A2*A3*A4/A5</f>
        <v>2.4359967187499998E-2</v>
      </c>
      <c r="C7" t="s">
        <v>7</v>
      </c>
    </row>
    <row r="8" spans="1:4" x14ac:dyDescent="0.3">
      <c r="A8" t="s">
        <v>6</v>
      </c>
      <c r="C8">
        <f>(A13*SQRT(A1*A2*A3))/(SQRT(6)*(SQRT(A1*A2*A3-A7)^3))</f>
        <v>74.258055450757922</v>
      </c>
    </row>
    <row r="9" spans="1:4" x14ac:dyDescent="0.3">
      <c r="A9">
        <f>A7/(3.692*3.692)</f>
        <v>1.7871183504948767E-3</v>
      </c>
    </row>
    <row r="10" spans="1:4" x14ac:dyDescent="0.3">
      <c r="A10" t="s">
        <v>5</v>
      </c>
    </row>
    <row r="11" spans="1:4" x14ac:dyDescent="0.3">
      <c r="A11">
        <f>2*A9*0.083</f>
        <v>2.9666164618214955E-4</v>
      </c>
    </row>
    <row r="12" spans="1:4" x14ac:dyDescent="0.3">
      <c r="A12" t="s">
        <v>4</v>
      </c>
    </row>
    <row r="13" spans="1:4" x14ac:dyDescent="0.3">
      <c r="A13">
        <f>80.29*A9</f>
        <v>0.14348773236123366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重物质量</vt:lpstr>
      <vt:lpstr>计算表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2023-11-29T01:32:37Z</dcterms:modified>
</cp:coreProperties>
</file>