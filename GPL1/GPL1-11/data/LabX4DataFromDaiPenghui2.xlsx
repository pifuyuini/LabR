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filterPrivacy="1" defaultThemeVersion="124226"/>
  <xr:revisionPtr revIDLastSave="0" documentId="13_ncr:1_{189CF379-C978-416E-94E1-34346EF2151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原始数据绘图" sheetId="1" r:id="rId1"/>
    <sheet name="Sheet2" sheetId="2" r:id="rId2"/>
    <sheet name="文丘里管流速" sheetId="8" r:id="rId3"/>
    <sheet name="摩擦压降" sheetId="5" r:id="rId4"/>
    <sheet name="动压水头和压强水头" sheetId="4" r:id="rId5"/>
    <sheet name="原始数据" sheetId="3" r:id="rId6"/>
    <sheet name="流速" sheetId="6" r:id="rId7"/>
  </sheets>
  <calcPr calcId="191029"/>
</workbook>
</file>

<file path=xl/calcChain.xml><?xml version="1.0" encoding="utf-8"?>
<calcChain xmlns="http://schemas.openxmlformats.org/spreadsheetml/2006/main">
  <c r="D13" i="6" l="1"/>
  <c r="E13" i="6"/>
  <c r="F13" i="6"/>
  <c r="G13" i="6"/>
  <c r="H13" i="6"/>
  <c r="I13" i="6"/>
  <c r="J13" i="6"/>
  <c r="C13" i="6"/>
  <c r="E14" i="6"/>
  <c r="F14" i="6"/>
  <c r="G14" i="6"/>
  <c r="H14" i="6"/>
  <c r="I14" i="6"/>
  <c r="J14" i="6"/>
  <c r="E15" i="6"/>
  <c r="F15" i="6"/>
  <c r="G15" i="6"/>
  <c r="H15" i="6"/>
  <c r="I15" i="6"/>
  <c r="J15" i="6"/>
  <c r="E16" i="6"/>
  <c r="F16" i="6"/>
  <c r="G16" i="6"/>
  <c r="H16" i="6"/>
  <c r="I16" i="6"/>
  <c r="J16" i="6"/>
  <c r="D15" i="6"/>
  <c r="D16" i="6"/>
  <c r="D14" i="6"/>
  <c r="C14" i="6"/>
  <c r="C15" i="6"/>
  <c r="C16" i="6"/>
  <c r="C17" i="6"/>
  <c r="D17" i="6"/>
  <c r="E17" i="6"/>
  <c r="F17" i="6"/>
  <c r="G17" i="6"/>
  <c r="H17" i="6"/>
  <c r="I17" i="6"/>
  <c r="J17" i="6"/>
  <c r="C18" i="6"/>
  <c r="D18" i="6"/>
  <c r="E18" i="6"/>
  <c r="F18" i="6"/>
  <c r="G18" i="6"/>
  <c r="H18" i="6"/>
  <c r="I18" i="6"/>
  <c r="J18" i="6"/>
  <c r="C19" i="6"/>
  <c r="D19" i="6"/>
  <c r="E19" i="6"/>
  <c r="F19" i="6"/>
  <c r="G19" i="6"/>
  <c r="H19" i="6"/>
  <c r="I19" i="6"/>
  <c r="J19" i="6"/>
  <c r="C20" i="6"/>
  <c r="D20" i="6"/>
  <c r="E20" i="6"/>
  <c r="F20" i="6"/>
  <c r="G20" i="6"/>
  <c r="H20" i="6"/>
  <c r="I20" i="6"/>
  <c r="J20" i="6"/>
  <c r="C57" i="2"/>
  <c r="D57" i="2"/>
  <c r="E57" i="2"/>
  <c r="F57" i="2"/>
  <c r="G57" i="2"/>
  <c r="H57" i="2"/>
  <c r="I57" i="2"/>
  <c r="B57" i="2"/>
  <c r="C56" i="2"/>
  <c r="D56" i="2"/>
  <c r="E56" i="2"/>
  <c r="F56" i="2"/>
  <c r="G56" i="2"/>
  <c r="H56" i="2"/>
  <c r="I56" i="2"/>
  <c r="B56" i="2"/>
  <c r="C55" i="2"/>
  <c r="D55" i="2"/>
  <c r="E55" i="2"/>
  <c r="F55" i="2"/>
  <c r="G55" i="2"/>
  <c r="H55" i="2"/>
  <c r="I55" i="2"/>
  <c r="B55" i="2"/>
  <c r="M43" i="2"/>
  <c r="N43" i="2"/>
  <c r="O43" i="2"/>
  <c r="P43" i="2"/>
  <c r="Q43" i="2"/>
  <c r="R43" i="2"/>
  <c r="S43" i="2"/>
  <c r="M44" i="2"/>
  <c r="N44" i="2"/>
  <c r="O44" i="2"/>
  <c r="P44" i="2"/>
  <c r="Q44" i="2"/>
  <c r="R44" i="2"/>
  <c r="S44" i="2"/>
  <c r="M45" i="2"/>
  <c r="N45" i="2"/>
  <c r="O45" i="2"/>
  <c r="P45" i="2"/>
  <c r="Q45" i="2"/>
  <c r="R45" i="2"/>
  <c r="S45" i="2"/>
  <c r="L44" i="2"/>
  <c r="L45" i="2"/>
  <c r="L43" i="2"/>
  <c r="B37" i="2"/>
  <c r="C37" i="2"/>
  <c r="D37" i="2"/>
  <c r="E37" i="2"/>
  <c r="F37" i="2"/>
  <c r="G37" i="2"/>
  <c r="H37" i="2"/>
  <c r="I37" i="2"/>
  <c r="B38" i="2"/>
  <c r="C38" i="2"/>
  <c r="D38" i="2"/>
  <c r="E38" i="2"/>
  <c r="F38" i="2"/>
  <c r="G38" i="2"/>
  <c r="H38" i="2"/>
  <c r="I38" i="2"/>
  <c r="C46" i="2"/>
  <c r="D46" i="2"/>
  <c r="E46" i="2"/>
  <c r="F46" i="2"/>
  <c r="G46" i="2"/>
  <c r="H46" i="2"/>
  <c r="I46" i="2"/>
  <c r="B46" i="2"/>
  <c r="C45" i="2"/>
  <c r="D45" i="2"/>
  <c r="E45" i="2"/>
  <c r="F45" i="2"/>
  <c r="G45" i="2"/>
  <c r="H45" i="2"/>
  <c r="I45" i="2"/>
  <c r="B45" i="2"/>
  <c r="C44" i="2"/>
  <c r="D44" i="2"/>
  <c r="E44" i="2"/>
  <c r="F44" i="2"/>
  <c r="G44" i="2"/>
  <c r="H44" i="2"/>
  <c r="I44" i="2"/>
  <c r="B44" i="2"/>
  <c r="C43" i="2"/>
  <c r="D43" i="2"/>
  <c r="E43" i="2"/>
  <c r="F43" i="2"/>
  <c r="G43" i="2"/>
  <c r="H43" i="2"/>
  <c r="I43" i="2"/>
  <c r="B43" i="2"/>
  <c r="C40" i="2"/>
  <c r="D40" i="2"/>
  <c r="E40" i="2"/>
  <c r="F40" i="2"/>
  <c r="G40" i="2"/>
  <c r="H40" i="2"/>
  <c r="I40" i="2"/>
  <c r="B40" i="2"/>
  <c r="C39" i="2"/>
  <c r="D39" i="2"/>
  <c r="E39" i="2"/>
  <c r="F39" i="2"/>
  <c r="G39" i="2"/>
  <c r="H39" i="2"/>
  <c r="I39" i="2"/>
  <c r="B39" i="2"/>
  <c r="C34" i="2"/>
  <c r="D34" i="2"/>
  <c r="E34" i="2"/>
  <c r="F34" i="2"/>
  <c r="G34" i="2"/>
  <c r="H34" i="2"/>
  <c r="I34" i="2"/>
  <c r="B34" i="2"/>
  <c r="C33" i="2"/>
  <c r="D33" i="2"/>
  <c r="E33" i="2"/>
  <c r="F33" i="2"/>
  <c r="G33" i="2"/>
  <c r="H33" i="2"/>
  <c r="I33" i="2"/>
  <c r="B33" i="2"/>
  <c r="C32" i="2"/>
  <c r="D32" i="2"/>
  <c r="E32" i="2"/>
  <c r="F32" i="2"/>
  <c r="G32" i="2"/>
  <c r="H32" i="2"/>
  <c r="I32" i="2"/>
  <c r="B32" i="2"/>
  <c r="C31" i="2"/>
  <c r="D31" i="2"/>
  <c r="E31" i="2"/>
  <c r="F31" i="2"/>
  <c r="G31" i="2"/>
  <c r="H31" i="2"/>
  <c r="I31" i="2"/>
  <c r="B31" i="2"/>
  <c r="C27" i="2"/>
  <c r="D27" i="2"/>
  <c r="E27" i="2"/>
  <c r="F27" i="2"/>
  <c r="G27" i="2"/>
  <c r="H27" i="2"/>
  <c r="I27" i="2"/>
  <c r="C26" i="2"/>
  <c r="D26" i="2"/>
  <c r="E26" i="2"/>
  <c r="F26" i="2"/>
  <c r="G26" i="2"/>
  <c r="H26" i="2"/>
  <c r="I26" i="2"/>
  <c r="C25" i="2"/>
  <c r="D25" i="2"/>
  <c r="E25" i="2"/>
  <c r="F25" i="2"/>
  <c r="G25" i="2"/>
  <c r="H25" i="2"/>
  <c r="I25" i="2"/>
  <c r="B27" i="2"/>
  <c r="B26" i="2"/>
  <c r="B25" i="2"/>
  <c r="C24" i="2"/>
  <c r="D24" i="2"/>
  <c r="E24" i="2"/>
  <c r="F24" i="2"/>
  <c r="G24" i="2"/>
  <c r="H24" i="2"/>
  <c r="I24" i="2"/>
  <c r="B24" i="2"/>
  <c r="C21" i="2"/>
  <c r="D21" i="2"/>
  <c r="E21" i="2"/>
  <c r="F21" i="2"/>
  <c r="G21" i="2"/>
  <c r="H21" i="2"/>
  <c r="I21" i="2"/>
  <c r="C20" i="2"/>
  <c r="D20" i="2"/>
  <c r="E20" i="2"/>
  <c r="F20" i="2"/>
  <c r="G20" i="2"/>
  <c r="H20" i="2"/>
  <c r="I20" i="2"/>
  <c r="C19" i="2"/>
  <c r="D19" i="2"/>
  <c r="E19" i="2"/>
  <c r="F19" i="2"/>
  <c r="G19" i="2"/>
  <c r="H19" i="2"/>
  <c r="I19" i="2"/>
  <c r="C18" i="2"/>
  <c r="D18" i="2"/>
  <c r="E18" i="2"/>
  <c r="F18" i="2"/>
  <c r="G18" i="2"/>
  <c r="H18" i="2"/>
  <c r="I18" i="2"/>
</calcChain>
</file>

<file path=xl/sharedStrings.xml><?xml version="1.0" encoding="utf-8"?>
<sst xmlns="http://schemas.openxmlformats.org/spreadsheetml/2006/main" count="80" uniqueCount="35">
  <si>
    <t>流量</t>
    <phoneticPr fontId="1" type="noConversion"/>
  </si>
  <si>
    <t>水柱高度</t>
    <phoneticPr fontId="1" type="noConversion"/>
  </si>
  <si>
    <t>A</t>
  </si>
  <si>
    <t>A</t>
    <phoneticPr fontId="1" type="noConversion"/>
  </si>
  <si>
    <t>B</t>
  </si>
  <si>
    <t>B</t>
    <phoneticPr fontId="1" type="noConversion"/>
  </si>
  <si>
    <t>C</t>
  </si>
  <si>
    <t>C</t>
    <phoneticPr fontId="1" type="noConversion"/>
  </si>
  <si>
    <t>D</t>
  </si>
  <si>
    <t>D</t>
    <phoneticPr fontId="1" type="noConversion"/>
  </si>
  <si>
    <t>E</t>
  </si>
  <si>
    <t>E</t>
    <phoneticPr fontId="1" type="noConversion"/>
  </si>
  <si>
    <t>F</t>
  </si>
  <si>
    <t>F</t>
    <phoneticPr fontId="1" type="noConversion"/>
  </si>
  <si>
    <t>G</t>
  </si>
  <si>
    <t>G</t>
    <phoneticPr fontId="1" type="noConversion"/>
  </si>
  <si>
    <t>平均流速u</t>
  </si>
  <si>
    <t>平均流速u</t>
    <phoneticPr fontId="1" type="noConversion"/>
  </si>
  <si>
    <t>轴心流体速度v</t>
  </si>
  <si>
    <t>轴心流体速度v</t>
    <phoneticPr fontId="1" type="noConversion"/>
  </si>
  <si>
    <t>动压水头</t>
  </si>
  <si>
    <t>动压水头</t>
    <phoneticPr fontId="1" type="noConversion"/>
  </si>
  <si>
    <t>压强水头</t>
  </si>
  <si>
    <t>压强水头</t>
    <phoneticPr fontId="1" type="noConversion"/>
  </si>
  <si>
    <t>文丘里管</t>
    <phoneticPr fontId="1" type="noConversion"/>
  </si>
  <si>
    <t>总水头</t>
    <phoneticPr fontId="1" type="noConversion"/>
  </si>
  <si>
    <r>
      <t>流量m</t>
    </r>
    <r>
      <rPr>
        <vertAlign val="superscript"/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2"/>
        <scheme val="minor"/>
      </rPr>
      <t>/h</t>
    </r>
    <phoneticPr fontId="1" type="noConversion"/>
  </si>
  <si>
    <t>测压管水柱高度/mm</t>
    <phoneticPr fontId="1" type="noConversion"/>
  </si>
  <si>
    <t>摩擦压降</t>
  </si>
  <si>
    <t>摩擦压降</t>
    <phoneticPr fontId="1" type="noConversion"/>
  </si>
  <si>
    <t>AB</t>
    <phoneticPr fontId="1" type="noConversion"/>
  </si>
  <si>
    <t>BC</t>
    <phoneticPr fontId="1" type="noConversion"/>
  </si>
  <si>
    <t>CD</t>
    <phoneticPr fontId="1" type="noConversion"/>
  </si>
  <si>
    <t>截面流速</t>
    <phoneticPr fontId="1" type="noConversion"/>
  </si>
  <si>
    <t>流量计算值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</si>
</sst>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vertAlign val="superscript"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 textRotation="255"/>
    </xf>
    <xf numFmtId="0" fontId="0" fillId="0" borderId="0" xfId="0" applyAlignment="1">
      <alignment vertical="center" textRotation="255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原始数据绘图!$L$2:$L$10</c:f>
              <c:numCache>
                <c:formatCode>General</c:formatCode>
                <c:ptCount val="9"/>
                <c:pt idx="0">
                  <c:v>0</c:v>
                </c:pt>
                <c:pt idx="1">
                  <c:v>0.113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原始数据绘图!$N$2:$N$10</c:f>
              <c:numCache>
                <c:formatCode>General</c:formatCode>
                <c:ptCount val="9"/>
                <c:pt idx="0">
                  <c:v>560</c:v>
                </c:pt>
                <c:pt idx="1">
                  <c:v>568</c:v>
                </c:pt>
                <c:pt idx="2">
                  <c:v>573</c:v>
                </c:pt>
                <c:pt idx="3">
                  <c:v>583</c:v>
                </c:pt>
                <c:pt idx="4">
                  <c:v>595</c:v>
                </c:pt>
                <c:pt idx="5">
                  <c:v>609.79999999999995</c:v>
                </c:pt>
                <c:pt idx="6">
                  <c:v>626</c:v>
                </c:pt>
                <c:pt idx="7">
                  <c:v>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09-4171-9738-3EE64524F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26976"/>
        <c:axId val="115706496"/>
      </c:scatterChart>
      <c:valAx>
        <c:axId val="115726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706496"/>
        <c:crosses val="autoZero"/>
        <c:crossBetween val="midCat"/>
      </c:valAx>
      <c:valAx>
        <c:axId val="115706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7269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原始数据绘图!$L$2:$L$10</c:f>
              <c:numCache>
                <c:formatCode>General</c:formatCode>
                <c:ptCount val="9"/>
                <c:pt idx="0">
                  <c:v>0</c:v>
                </c:pt>
                <c:pt idx="1">
                  <c:v>0.113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原始数据绘图!$O$2:$O$10</c:f>
              <c:numCache>
                <c:formatCode>General</c:formatCode>
                <c:ptCount val="9"/>
                <c:pt idx="0">
                  <c:v>559.79999999999995</c:v>
                </c:pt>
                <c:pt idx="1">
                  <c:v>568.5</c:v>
                </c:pt>
                <c:pt idx="2">
                  <c:v>573.5</c:v>
                </c:pt>
                <c:pt idx="3">
                  <c:v>586</c:v>
                </c:pt>
                <c:pt idx="4">
                  <c:v>599</c:v>
                </c:pt>
                <c:pt idx="5">
                  <c:v>615.5</c:v>
                </c:pt>
                <c:pt idx="6">
                  <c:v>634</c:v>
                </c:pt>
                <c:pt idx="7">
                  <c:v>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46-454F-A78E-B7F68C661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39840"/>
        <c:axId val="89138304"/>
      </c:scatterChart>
      <c:valAx>
        <c:axId val="8913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9138304"/>
        <c:crosses val="autoZero"/>
        <c:crossBetween val="midCat"/>
      </c:valAx>
      <c:valAx>
        <c:axId val="8913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91398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原始数据绘图!$L$2:$L$10</c:f>
              <c:numCache>
                <c:formatCode>General</c:formatCode>
                <c:ptCount val="9"/>
                <c:pt idx="0">
                  <c:v>0</c:v>
                </c:pt>
                <c:pt idx="1">
                  <c:v>0.113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原始数据绘图!$P$2:$P$10</c:f>
              <c:numCache>
                <c:formatCode>General</c:formatCode>
                <c:ptCount val="9"/>
                <c:pt idx="0">
                  <c:v>560</c:v>
                </c:pt>
                <c:pt idx="1">
                  <c:v>565.5</c:v>
                </c:pt>
                <c:pt idx="2">
                  <c:v>570</c:v>
                </c:pt>
                <c:pt idx="3">
                  <c:v>577</c:v>
                </c:pt>
                <c:pt idx="4">
                  <c:v>585</c:v>
                </c:pt>
                <c:pt idx="5">
                  <c:v>595</c:v>
                </c:pt>
                <c:pt idx="6">
                  <c:v>606</c:v>
                </c:pt>
                <c:pt idx="7">
                  <c:v>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63-4201-AE1E-E7A423019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43296"/>
        <c:axId val="179941760"/>
      </c:scatterChart>
      <c:valAx>
        <c:axId val="17994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9941760"/>
        <c:crosses val="autoZero"/>
        <c:crossBetween val="midCat"/>
      </c:valAx>
      <c:valAx>
        <c:axId val="179941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9432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原始数据绘图!$L$2:$L$10</c:f>
              <c:numCache>
                <c:formatCode>General</c:formatCode>
                <c:ptCount val="9"/>
                <c:pt idx="0">
                  <c:v>0</c:v>
                </c:pt>
                <c:pt idx="1">
                  <c:v>0.113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原始数据绘图!$Q$2:$Q$10</c:f>
              <c:numCache>
                <c:formatCode>General</c:formatCode>
                <c:ptCount val="9"/>
                <c:pt idx="0">
                  <c:v>559</c:v>
                </c:pt>
                <c:pt idx="1">
                  <c:v>566.20000000000005</c:v>
                </c:pt>
                <c:pt idx="2">
                  <c:v>572</c:v>
                </c:pt>
                <c:pt idx="3">
                  <c:v>582</c:v>
                </c:pt>
                <c:pt idx="4">
                  <c:v>594</c:v>
                </c:pt>
                <c:pt idx="5">
                  <c:v>609</c:v>
                </c:pt>
                <c:pt idx="6">
                  <c:v>626</c:v>
                </c:pt>
                <c:pt idx="7">
                  <c:v>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70-4B78-87BC-AAB31FEA5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26784"/>
        <c:axId val="171525248"/>
      </c:scatterChart>
      <c:valAx>
        <c:axId val="17152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1525248"/>
        <c:crosses val="autoZero"/>
        <c:crossBetween val="midCat"/>
      </c:valAx>
      <c:valAx>
        <c:axId val="171525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5267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原始数据绘图!$L$2:$L$10</c:f>
              <c:numCache>
                <c:formatCode>General</c:formatCode>
                <c:ptCount val="9"/>
                <c:pt idx="0">
                  <c:v>0</c:v>
                </c:pt>
                <c:pt idx="1">
                  <c:v>0.113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原始数据绘图!$R$2:$R$10</c:f>
              <c:numCache>
                <c:formatCode>General</c:formatCode>
                <c:ptCount val="9"/>
                <c:pt idx="0">
                  <c:v>560</c:v>
                </c:pt>
                <c:pt idx="1">
                  <c:v>562.9</c:v>
                </c:pt>
                <c:pt idx="2">
                  <c:v>565</c:v>
                </c:pt>
                <c:pt idx="3">
                  <c:v>570</c:v>
                </c:pt>
                <c:pt idx="4">
                  <c:v>574</c:v>
                </c:pt>
                <c:pt idx="5">
                  <c:v>580</c:v>
                </c:pt>
                <c:pt idx="6">
                  <c:v>586</c:v>
                </c:pt>
                <c:pt idx="7">
                  <c:v>593.79999999999995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5A-41C3-86C9-8CEABBCA9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28416"/>
        <c:axId val="180136576"/>
      </c:scatterChart>
      <c:valAx>
        <c:axId val="18602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136576"/>
        <c:crosses val="autoZero"/>
        <c:crossBetween val="midCat"/>
      </c:valAx>
      <c:valAx>
        <c:axId val="180136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60284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原始数据绘图!$N$2:$N$10</c:f>
              <c:numCache>
                <c:formatCode>General</c:formatCode>
                <c:ptCount val="9"/>
                <c:pt idx="0">
                  <c:v>560</c:v>
                </c:pt>
                <c:pt idx="1">
                  <c:v>568</c:v>
                </c:pt>
                <c:pt idx="2">
                  <c:v>573</c:v>
                </c:pt>
                <c:pt idx="3">
                  <c:v>583</c:v>
                </c:pt>
                <c:pt idx="4">
                  <c:v>595</c:v>
                </c:pt>
                <c:pt idx="5">
                  <c:v>609.79999999999995</c:v>
                </c:pt>
                <c:pt idx="6">
                  <c:v>626</c:v>
                </c:pt>
                <c:pt idx="7">
                  <c:v>645</c:v>
                </c:pt>
              </c:numCache>
            </c:numRef>
          </c:xVal>
          <c:yVal>
            <c:numRef>
              <c:f>原始数据绘图!$S$2:$S$10</c:f>
              <c:numCache>
                <c:formatCode>General</c:formatCode>
                <c:ptCount val="9"/>
                <c:pt idx="0">
                  <c:v>559.79999999999995</c:v>
                </c:pt>
                <c:pt idx="1">
                  <c:v>562.5</c:v>
                </c:pt>
                <c:pt idx="2">
                  <c:v>564.5</c:v>
                </c:pt>
                <c:pt idx="3">
                  <c:v>568.79999999999995</c:v>
                </c:pt>
                <c:pt idx="4">
                  <c:v>573</c:v>
                </c:pt>
                <c:pt idx="5">
                  <c:v>578.5</c:v>
                </c:pt>
                <c:pt idx="6">
                  <c:v>584</c:v>
                </c:pt>
                <c:pt idx="7">
                  <c:v>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3B-41A2-827B-B86DFD3CB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31968"/>
        <c:axId val="178930432"/>
      </c:scatterChart>
      <c:valAx>
        <c:axId val="178931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8930432"/>
        <c:crosses val="autoZero"/>
        <c:crossBetween val="midCat"/>
      </c:valAx>
      <c:valAx>
        <c:axId val="178930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9319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原始数据绘图!$N$2:$N$10</c:f>
              <c:numCache>
                <c:formatCode>General</c:formatCode>
                <c:ptCount val="9"/>
                <c:pt idx="0">
                  <c:v>560</c:v>
                </c:pt>
                <c:pt idx="1">
                  <c:v>568</c:v>
                </c:pt>
                <c:pt idx="2">
                  <c:v>573</c:v>
                </c:pt>
                <c:pt idx="3">
                  <c:v>583</c:v>
                </c:pt>
                <c:pt idx="4">
                  <c:v>595</c:v>
                </c:pt>
                <c:pt idx="5">
                  <c:v>609.79999999999995</c:v>
                </c:pt>
                <c:pt idx="6">
                  <c:v>626</c:v>
                </c:pt>
                <c:pt idx="7">
                  <c:v>645</c:v>
                </c:pt>
              </c:numCache>
            </c:numRef>
          </c:xVal>
          <c:yVal>
            <c:numRef>
              <c:f>原始数据绘图!$T$2:$T$10</c:f>
              <c:numCache>
                <c:formatCode>General</c:formatCode>
                <c:ptCount val="9"/>
                <c:pt idx="0">
                  <c:v>559.79999999999995</c:v>
                </c:pt>
                <c:pt idx="1">
                  <c:v>564.79999999999995</c:v>
                </c:pt>
                <c:pt idx="2">
                  <c:v>569.5</c:v>
                </c:pt>
                <c:pt idx="3">
                  <c:v>575.79999999999995</c:v>
                </c:pt>
                <c:pt idx="4">
                  <c:v>584.5</c:v>
                </c:pt>
                <c:pt idx="5">
                  <c:v>594.5</c:v>
                </c:pt>
                <c:pt idx="6">
                  <c:v>606.5</c:v>
                </c:pt>
                <c:pt idx="7">
                  <c:v>620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CD-4D29-9C40-2E8542003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77792"/>
        <c:axId val="173376256"/>
      </c:scatterChart>
      <c:valAx>
        <c:axId val="17337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376256"/>
        <c:crosses val="autoZero"/>
        <c:crossBetween val="midCat"/>
      </c:valAx>
      <c:valAx>
        <c:axId val="173376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377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原始数据绘图!$N$2:$N$10</c:f>
              <c:numCache>
                <c:formatCode>General</c:formatCode>
                <c:ptCount val="9"/>
                <c:pt idx="0">
                  <c:v>560</c:v>
                </c:pt>
                <c:pt idx="1">
                  <c:v>568</c:v>
                </c:pt>
                <c:pt idx="2">
                  <c:v>573</c:v>
                </c:pt>
                <c:pt idx="3">
                  <c:v>583</c:v>
                </c:pt>
                <c:pt idx="4">
                  <c:v>595</c:v>
                </c:pt>
                <c:pt idx="5">
                  <c:v>609.79999999999995</c:v>
                </c:pt>
                <c:pt idx="6">
                  <c:v>626</c:v>
                </c:pt>
                <c:pt idx="7">
                  <c:v>645</c:v>
                </c:pt>
              </c:numCache>
            </c:numRef>
          </c:xVal>
          <c:yVal>
            <c:numRef>
              <c:f>原始数据绘图!$U$2:$U$10</c:f>
              <c:numCache>
                <c:formatCode>General</c:formatCode>
                <c:ptCount val="9"/>
                <c:pt idx="0">
                  <c:v>560</c:v>
                </c:pt>
                <c:pt idx="1">
                  <c:v>561.5</c:v>
                </c:pt>
                <c:pt idx="2">
                  <c:v>562.5</c:v>
                </c:pt>
                <c:pt idx="3">
                  <c:v>565</c:v>
                </c:pt>
                <c:pt idx="4">
                  <c:v>567.5</c:v>
                </c:pt>
                <c:pt idx="5">
                  <c:v>570.5</c:v>
                </c:pt>
                <c:pt idx="6">
                  <c:v>574</c:v>
                </c:pt>
                <c:pt idx="7">
                  <c:v>577.20000000000005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DF-4E56-AFD4-87C6887C8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19680"/>
        <c:axId val="171566208"/>
      </c:scatterChart>
      <c:valAx>
        <c:axId val="17331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1566208"/>
        <c:crosses val="autoZero"/>
        <c:crossBetween val="midCat"/>
      </c:valAx>
      <c:valAx>
        <c:axId val="171566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3196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原始数据绘图!$N$2:$N$10</c:f>
              <c:numCache>
                <c:formatCode>General</c:formatCode>
                <c:ptCount val="9"/>
                <c:pt idx="0">
                  <c:v>560</c:v>
                </c:pt>
                <c:pt idx="1">
                  <c:v>568</c:v>
                </c:pt>
                <c:pt idx="2">
                  <c:v>573</c:v>
                </c:pt>
                <c:pt idx="3">
                  <c:v>583</c:v>
                </c:pt>
                <c:pt idx="4">
                  <c:v>595</c:v>
                </c:pt>
                <c:pt idx="5">
                  <c:v>609.79999999999995</c:v>
                </c:pt>
                <c:pt idx="6">
                  <c:v>626</c:v>
                </c:pt>
                <c:pt idx="7">
                  <c:v>645</c:v>
                </c:pt>
              </c:numCache>
            </c:numRef>
          </c:xVal>
          <c:yVal>
            <c:numRef>
              <c:f>原始数据绘图!$V$2:$V$10</c:f>
              <c:numCache>
                <c:formatCode>General</c:formatCode>
                <c:ptCount val="9"/>
                <c:pt idx="0">
                  <c:v>560</c:v>
                </c:pt>
                <c:pt idx="1">
                  <c:v>561.5</c:v>
                </c:pt>
                <c:pt idx="2">
                  <c:v>561.5</c:v>
                </c:pt>
                <c:pt idx="3">
                  <c:v>563.79999999999995</c:v>
                </c:pt>
                <c:pt idx="4">
                  <c:v>565.5</c:v>
                </c:pt>
                <c:pt idx="5">
                  <c:v>568.5</c:v>
                </c:pt>
                <c:pt idx="6">
                  <c:v>570</c:v>
                </c:pt>
                <c:pt idx="7">
                  <c:v>572.70000000000005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1C-4CB7-8FAB-FBA9B9996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58464"/>
        <c:axId val="173301760"/>
      </c:scatterChart>
      <c:valAx>
        <c:axId val="17335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301760"/>
        <c:crosses val="autoZero"/>
        <c:crossBetween val="midCat"/>
      </c:valAx>
      <c:valAx>
        <c:axId val="173301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3584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原始数据绘图!$L$2:$L$10</c:f>
              <c:numCache>
                <c:formatCode>General</c:formatCode>
                <c:ptCount val="9"/>
                <c:pt idx="0">
                  <c:v>0</c:v>
                </c:pt>
                <c:pt idx="1">
                  <c:v>0.113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原始数据绘图!$W$2:$W$10</c:f>
              <c:numCache>
                <c:formatCode>General</c:formatCode>
                <c:ptCount val="9"/>
                <c:pt idx="0">
                  <c:v>559</c:v>
                </c:pt>
                <c:pt idx="1">
                  <c:v>563.5</c:v>
                </c:pt>
                <c:pt idx="2">
                  <c:v>566.5</c:v>
                </c:pt>
                <c:pt idx="3">
                  <c:v>571.5</c:v>
                </c:pt>
                <c:pt idx="4">
                  <c:v>578</c:v>
                </c:pt>
                <c:pt idx="5">
                  <c:v>586</c:v>
                </c:pt>
                <c:pt idx="6">
                  <c:v>595.20000000000005</c:v>
                </c:pt>
                <c:pt idx="7">
                  <c:v>605.5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2C-4F98-ADCF-E6B0B05A3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08416"/>
        <c:axId val="173697280"/>
      </c:scatterChart>
      <c:valAx>
        <c:axId val="17370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697280"/>
        <c:crosses val="autoZero"/>
        <c:crossBetween val="midCat"/>
      </c:valAx>
      <c:valAx>
        <c:axId val="173697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7084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原始数据绘图!$L$2:$L$10</c:f>
              <c:numCache>
                <c:formatCode>General</c:formatCode>
                <c:ptCount val="9"/>
                <c:pt idx="0">
                  <c:v>0</c:v>
                </c:pt>
                <c:pt idx="1">
                  <c:v>0.113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原始数据绘图!$X$2:$X$10</c:f>
              <c:numCache>
                <c:formatCode>General</c:formatCode>
                <c:ptCount val="9"/>
                <c:pt idx="0">
                  <c:v>558</c:v>
                </c:pt>
                <c:pt idx="1">
                  <c:v>556.9</c:v>
                </c:pt>
                <c:pt idx="2">
                  <c:v>556</c:v>
                </c:pt>
                <c:pt idx="3">
                  <c:v>556.79999999999995</c:v>
                </c:pt>
                <c:pt idx="4">
                  <c:v>557</c:v>
                </c:pt>
                <c:pt idx="5">
                  <c:v>555</c:v>
                </c:pt>
                <c:pt idx="6">
                  <c:v>552</c:v>
                </c:pt>
                <c:pt idx="7">
                  <c:v>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05-4A6B-9A1B-5F1F40817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97664"/>
        <c:axId val="173617152"/>
      </c:scatterChart>
      <c:valAx>
        <c:axId val="17369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617152"/>
        <c:crosses val="autoZero"/>
        <c:crossBetween val="midCat"/>
      </c:valAx>
      <c:valAx>
        <c:axId val="173617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6976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(原始数据绘图!$L$2:$L$10,原始数据绘图!$L$10)</c:f>
              <c:numCache>
                <c:formatCode>General</c:formatCode>
                <c:ptCount val="10"/>
                <c:pt idx="0">
                  <c:v>0</c:v>
                </c:pt>
                <c:pt idx="1">
                  <c:v>0.113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(原始数据绘图!$Y$2:$Y$10,原始数据绘图!$Y$10)</c:f>
              <c:numCache>
                <c:formatCode>General</c:formatCode>
                <c:ptCount val="10"/>
                <c:pt idx="0">
                  <c:v>558.6</c:v>
                </c:pt>
                <c:pt idx="1">
                  <c:v>527.70000000000005</c:v>
                </c:pt>
                <c:pt idx="2">
                  <c:v>504</c:v>
                </c:pt>
                <c:pt idx="3">
                  <c:v>460.5</c:v>
                </c:pt>
                <c:pt idx="4">
                  <c:v>403</c:v>
                </c:pt>
                <c:pt idx="5">
                  <c:v>336</c:v>
                </c:pt>
                <c:pt idx="6">
                  <c:v>265</c:v>
                </c:pt>
                <c:pt idx="7">
                  <c:v>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50-438F-AB95-C16360CC2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60512"/>
        <c:axId val="173402752"/>
      </c:scatterChart>
      <c:valAx>
        <c:axId val="17376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402752"/>
        <c:crosses val="autoZero"/>
        <c:crossBetween val="midCat"/>
      </c:valAx>
      <c:valAx>
        <c:axId val="173402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760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原始数据绘图!$L$2:$L$10</c:f>
              <c:numCache>
                <c:formatCode>General</c:formatCode>
                <c:ptCount val="9"/>
                <c:pt idx="0">
                  <c:v>0</c:v>
                </c:pt>
                <c:pt idx="1">
                  <c:v>0.113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原始数据绘图!$Z$2:$Z$10</c:f>
              <c:numCache>
                <c:formatCode>General</c:formatCode>
                <c:ptCount val="9"/>
                <c:pt idx="0">
                  <c:v>560</c:v>
                </c:pt>
                <c:pt idx="1">
                  <c:v>541</c:v>
                </c:pt>
                <c:pt idx="2">
                  <c:v>526.5</c:v>
                </c:pt>
                <c:pt idx="3">
                  <c:v>508.5</c:v>
                </c:pt>
                <c:pt idx="4">
                  <c:v>489</c:v>
                </c:pt>
                <c:pt idx="5">
                  <c:v>465</c:v>
                </c:pt>
                <c:pt idx="6">
                  <c:v>431</c:v>
                </c:pt>
                <c:pt idx="7">
                  <c:v>390.5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4D-469F-A4C6-0AE5C5136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03872"/>
        <c:axId val="173873792"/>
      </c:scatterChart>
      <c:valAx>
        <c:axId val="17390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873792"/>
        <c:crosses val="autoZero"/>
        <c:crossBetween val="midCat"/>
      </c:valAx>
      <c:valAx>
        <c:axId val="173873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9038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17</xdr:row>
      <xdr:rowOff>109537</xdr:rowOff>
    </xdr:from>
    <xdr:to>
      <xdr:col>6</xdr:col>
      <xdr:colOff>581025</xdr:colOff>
      <xdr:row>33</xdr:row>
      <xdr:rowOff>109537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333375</xdr:colOff>
      <xdr:row>17</xdr:row>
      <xdr:rowOff>109537</xdr:rowOff>
    </xdr:from>
    <xdr:to>
      <xdr:col>13</xdr:col>
      <xdr:colOff>104775</xdr:colOff>
      <xdr:row>33</xdr:row>
      <xdr:rowOff>109537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600075</xdr:colOff>
      <xdr:row>17</xdr:row>
      <xdr:rowOff>42862</xdr:rowOff>
    </xdr:from>
    <xdr:to>
      <xdr:col>17</xdr:col>
      <xdr:colOff>371475</xdr:colOff>
      <xdr:row>33</xdr:row>
      <xdr:rowOff>42862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419100</xdr:colOff>
      <xdr:row>17</xdr:row>
      <xdr:rowOff>61912</xdr:rowOff>
    </xdr:from>
    <xdr:to>
      <xdr:col>22</xdr:col>
      <xdr:colOff>190500</xdr:colOff>
      <xdr:row>33</xdr:row>
      <xdr:rowOff>61912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533400</xdr:colOff>
      <xdr:row>17</xdr:row>
      <xdr:rowOff>4762</xdr:rowOff>
    </xdr:from>
    <xdr:to>
      <xdr:col>29</xdr:col>
      <xdr:colOff>304800</xdr:colOff>
      <xdr:row>33</xdr:row>
      <xdr:rowOff>4762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171450</xdr:colOff>
      <xdr:row>35</xdr:row>
      <xdr:rowOff>109537</xdr:rowOff>
    </xdr:from>
    <xdr:to>
      <xdr:col>12</xdr:col>
      <xdr:colOff>628650</xdr:colOff>
      <xdr:row>51</xdr:row>
      <xdr:rowOff>109537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361950</xdr:colOff>
      <xdr:row>35</xdr:row>
      <xdr:rowOff>100012</xdr:rowOff>
    </xdr:from>
    <xdr:to>
      <xdr:col>19</xdr:col>
      <xdr:colOff>133350</xdr:colOff>
      <xdr:row>51</xdr:row>
      <xdr:rowOff>100012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76200</xdr:colOff>
      <xdr:row>35</xdr:row>
      <xdr:rowOff>119062</xdr:rowOff>
    </xdr:from>
    <xdr:to>
      <xdr:col>24</xdr:col>
      <xdr:colOff>533400</xdr:colOff>
      <xdr:row>51</xdr:row>
      <xdr:rowOff>119062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600075</xdr:colOff>
      <xdr:row>35</xdr:row>
      <xdr:rowOff>80962</xdr:rowOff>
    </xdr:from>
    <xdr:to>
      <xdr:col>30</xdr:col>
      <xdr:colOff>371475</xdr:colOff>
      <xdr:row>51</xdr:row>
      <xdr:rowOff>80962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676275</xdr:colOff>
      <xdr:row>52</xdr:row>
      <xdr:rowOff>119062</xdr:rowOff>
    </xdr:from>
    <xdr:to>
      <xdr:col>15</xdr:col>
      <xdr:colOff>447675</xdr:colOff>
      <xdr:row>68</xdr:row>
      <xdr:rowOff>119062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352425</xdr:colOff>
      <xdr:row>52</xdr:row>
      <xdr:rowOff>128587</xdr:rowOff>
    </xdr:from>
    <xdr:to>
      <xdr:col>21</xdr:col>
      <xdr:colOff>123825</xdr:colOff>
      <xdr:row>68</xdr:row>
      <xdr:rowOff>128587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619125</xdr:colOff>
      <xdr:row>53</xdr:row>
      <xdr:rowOff>42862</xdr:rowOff>
    </xdr:from>
    <xdr:to>
      <xdr:col>26</xdr:col>
      <xdr:colOff>390525</xdr:colOff>
      <xdr:row>69</xdr:row>
      <xdr:rowOff>42862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9525</xdr:colOff>
      <xdr:row>53</xdr:row>
      <xdr:rowOff>100012</xdr:rowOff>
    </xdr:from>
    <xdr:to>
      <xdr:col>31</xdr:col>
      <xdr:colOff>466725</xdr:colOff>
      <xdr:row>69</xdr:row>
      <xdr:rowOff>100012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opLeftCell="B1" zoomScale="145" zoomScaleNormal="145" workbookViewId="0">
      <selection activeCell="C15" sqref="C15"/>
    </sheetView>
  </sheetViews>
  <sheetFormatPr defaultRowHeight="14.4" x14ac:dyDescent="0.25"/>
  <sheetData>
    <row r="1" spans="1:26" x14ac:dyDescent="0.25">
      <c r="A1" t="s">
        <v>0</v>
      </c>
      <c r="B1">
        <v>0</v>
      </c>
      <c r="C1">
        <v>0.113</v>
      </c>
      <c r="D1">
        <v>0.15</v>
      </c>
      <c r="E1">
        <v>0.2</v>
      </c>
      <c r="F1">
        <v>0.25</v>
      </c>
      <c r="G1">
        <v>0.3</v>
      </c>
      <c r="H1">
        <v>0.35</v>
      </c>
      <c r="I1">
        <v>0.4</v>
      </c>
      <c r="J1">
        <v>0.45</v>
      </c>
      <c r="L1" t="s">
        <v>0</v>
      </c>
      <c r="M1" t="s">
        <v>1</v>
      </c>
      <c r="N1">
        <v>1</v>
      </c>
      <c r="O1">
        <v>2</v>
      </c>
      <c r="P1">
        <v>3</v>
      </c>
      <c r="Q1">
        <v>4</v>
      </c>
      <c r="R1">
        <v>5</v>
      </c>
      <c r="S1">
        <v>6</v>
      </c>
      <c r="T1">
        <v>7</v>
      </c>
      <c r="U1">
        <v>8</v>
      </c>
      <c r="V1">
        <v>9</v>
      </c>
      <c r="W1">
        <v>10</v>
      </c>
      <c r="X1">
        <v>11</v>
      </c>
      <c r="Y1">
        <v>12</v>
      </c>
      <c r="Z1">
        <v>13</v>
      </c>
    </row>
    <row r="2" spans="1:26" x14ac:dyDescent="0.25">
      <c r="A2" t="s">
        <v>1</v>
      </c>
      <c r="L2">
        <v>0</v>
      </c>
      <c r="N2">
        <v>560</v>
      </c>
      <c r="O2">
        <v>559.79999999999995</v>
      </c>
      <c r="P2">
        <v>560</v>
      </c>
      <c r="Q2">
        <v>559</v>
      </c>
      <c r="R2">
        <v>560</v>
      </c>
      <c r="S2">
        <v>559.79999999999995</v>
      </c>
      <c r="T2">
        <v>559.79999999999995</v>
      </c>
      <c r="U2">
        <v>560</v>
      </c>
      <c r="V2">
        <v>560</v>
      </c>
      <c r="W2">
        <v>559</v>
      </c>
      <c r="X2">
        <v>558</v>
      </c>
      <c r="Y2">
        <v>558.6</v>
      </c>
      <c r="Z2">
        <v>560</v>
      </c>
    </row>
    <row r="3" spans="1:26" x14ac:dyDescent="0.25">
      <c r="A3">
        <v>1</v>
      </c>
      <c r="B3">
        <v>560</v>
      </c>
      <c r="C3">
        <v>568</v>
      </c>
      <c r="D3">
        <v>573</v>
      </c>
      <c r="E3">
        <v>583</v>
      </c>
      <c r="F3">
        <v>595</v>
      </c>
      <c r="G3">
        <v>609.79999999999995</v>
      </c>
      <c r="H3">
        <v>626</v>
      </c>
      <c r="I3">
        <v>645</v>
      </c>
      <c r="J3">
        <v>658.5</v>
      </c>
      <c r="L3">
        <v>0.113</v>
      </c>
      <c r="N3">
        <v>568</v>
      </c>
      <c r="O3">
        <v>568.5</v>
      </c>
      <c r="P3">
        <v>565.5</v>
      </c>
      <c r="Q3">
        <v>566.20000000000005</v>
      </c>
      <c r="R3">
        <v>562.9</v>
      </c>
      <c r="S3">
        <v>562.5</v>
      </c>
      <c r="T3">
        <v>564.79999999999995</v>
      </c>
      <c r="U3">
        <v>561.5</v>
      </c>
      <c r="V3">
        <v>561.5</v>
      </c>
      <c r="W3">
        <v>563.5</v>
      </c>
      <c r="X3">
        <v>556.9</v>
      </c>
      <c r="Y3">
        <v>527.70000000000005</v>
      </c>
      <c r="Z3">
        <v>541</v>
      </c>
    </row>
    <row r="4" spans="1:26" x14ac:dyDescent="0.25">
      <c r="A4">
        <v>2</v>
      </c>
      <c r="B4">
        <v>559.79999999999995</v>
      </c>
      <c r="C4">
        <v>568.5</v>
      </c>
      <c r="D4">
        <v>573.5</v>
      </c>
      <c r="E4">
        <v>586</v>
      </c>
      <c r="F4">
        <v>599</v>
      </c>
      <c r="G4">
        <v>615.5</v>
      </c>
      <c r="H4">
        <v>634</v>
      </c>
      <c r="I4">
        <v>656</v>
      </c>
      <c r="J4">
        <v>672</v>
      </c>
      <c r="L4">
        <v>0.15</v>
      </c>
      <c r="N4">
        <v>573</v>
      </c>
      <c r="O4">
        <v>573.5</v>
      </c>
      <c r="P4">
        <v>570</v>
      </c>
      <c r="Q4">
        <v>572</v>
      </c>
      <c r="R4">
        <v>565</v>
      </c>
      <c r="S4">
        <v>564.5</v>
      </c>
      <c r="T4">
        <v>569.5</v>
      </c>
      <c r="U4">
        <v>562.5</v>
      </c>
      <c r="V4">
        <v>561.5</v>
      </c>
      <c r="W4">
        <v>566.5</v>
      </c>
      <c r="X4">
        <v>556</v>
      </c>
      <c r="Y4">
        <v>504</v>
      </c>
      <c r="Z4">
        <v>526.5</v>
      </c>
    </row>
    <row r="5" spans="1:26" x14ac:dyDescent="0.25">
      <c r="A5">
        <v>3</v>
      </c>
      <c r="B5">
        <v>560</v>
      </c>
      <c r="C5">
        <v>565.5</v>
      </c>
      <c r="D5">
        <v>570</v>
      </c>
      <c r="E5">
        <v>577</v>
      </c>
      <c r="F5">
        <v>585</v>
      </c>
      <c r="G5">
        <v>595</v>
      </c>
      <c r="H5">
        <v>606</v>
      </c>
      <c r="I5">
        <v>619</v>
      </c>
      <c r="J5">
        <v>625.5</v>
      </c>
      <c r="L5">
        <v>0.2</v>
      </c>
      <c r="N5">
        <v>583</v>
      </c>
      <c r="O5">
        <v>586</v>
      </c>
      <c r="P5">
        <v>577</v>
      </c>
      <c r="Q5">
        <v>582</v>
      </c>
      <c r="R5">
        <v>570</v>
      </c>
      <c r="S5">
        <v>568.79999999999995</v>
      </c>
      <c r="T5">
        <v>575.79999999999995</v>
      </c>
      <c r="U5">
        <v>565</v>
      </c>
      <c r="V5">
        <v>563.79999999999995</v>
      </c>
      <c r="W5">
        <v>571.5</v>
      </c>
      <c r="X5">
        <v>556.79999999999995</v>
      </c>
      <c r="Y5">
        <v>460.5</v>
      </c>
      <c r="Z5">
        <v>508.5</v>
      </c>
    </row>
    <row r="6" spans="1:26" x14ac:dyDescent="0.25">
      <c r="A6">
        <v>4</v>
      </c>
      <c r="B6">
        <v>559</v>
      </c>
      <c r="C6">
        <v>566.20000000000005</v>
      </c>
      <c r="D6">
        <v>572</v>
      </c>
      <c r="E6">
        <v>582</v>
      </c>
      <c r="F6">
        <v>594</v>
      </c>
      <c r="G6">
        <v>609</v>
      </c>
      <c r="H6">
        <v>626</v>
      </c>
      <c r="I6">
        <v>645</v>
      </c>
      <c r="J6">
        <v>659.5</v>
      </c>
      <c r="L6">
        <v>0.25</v>
      </c>
      <c r="N6">
        <v>595</v>
      </c>
      <c r="O6">
        <v>599</v>
      </c>
      <c r="P6">
        <v>585</v>
      </c>
      <c r="Q6">
        <v>594</v>
      </c>
      <c r="R6">
        <v>574</v>
      </c>
      <c r="S6">
        <v>573</v>
      </c>
      <c r="T6">
        <v>584.5</v>
      </c>
      <c r="U6">
        <v>567.5</v>
      </c>
      <c r="V6">
        <v>565.5</v>
      </c>
      <c r="W6">
        <v>578</v>
      </c>
      <c r="X6">
        <v>557</v>
      </c>
      <c r="Y6">
        <v>403</v>
      </c>
      <c r="Z6">
        <v>489</v>
      </c>
    </row>
    <row r="7" spans="1:26" x14ac:dyDescent="0.25">
      <c r="A7">
        <v>5</v>
      </c>
      <c r="B7">
        <v>560</v>
      </c>
      <c r="C7">
        <v>562.9</v>
      </c>
      <c r="D7">
        <v>565</v>
      </c>
      <c r="E7">
        <v>570</v>
      </c>
      <c r="F7">
        <v>574</v>
      </c>
      <c r="G7">
        <v>580</v>
      </c>
      <c r="H7">
        <v>586</v>
      </c>
      <c r="I7">
        <v>593.79999999999995</v>
      </c>
      <c r="J7">
        <v>594</v>
      </c>
      <c r="L7">
        <v>0.3</v>
      </c>
      <c r="N7">
        <v>609.79999999999995</v>
      </c>
      <c r="O7">
        <v>615.5</v>
      </c>
      <c r="P7">
        <v>595</v>
      </c>
      <c r="Q7">
        <v>609</v>
      </c>
      <c r="R7">
        <v>580</v>
      </c>
      <c r="S7">
        <v>578.5</v>
      </c>
      <c r="T7">
        <v>594.5</v>
      </c>
      <c r="U7">
        <v>570.5</v>
      </c>
      <c r="V7">
        <v>568.5</v>
      </c>
      <c r="W7">
        <v>586</v>
      </c>
      <c r="X7">
        <v>555</v>
      </c>
      <c r="Y7">
        <v>336</v>
      </c>
      <c r="Z7">
        <v>465</v>
      </c>
    </row>
    <row r="8" spans="1:26" x14ac:dyDescent="0.25">
      <c r="A8">
        <v>6</v>
      </c>
      <c r="B8">
        <v>559.79999999999995</v>
      </c>
      <c r="C8">
        <v>562.5</v>
      </c>
      <c r="D8">
        <v>564.5</v>
      </c>
      <c r="E8">
        <v>568.79999999999995</v>
      </c>
      <c r="F8">
        <v>573</v>
      </c>
      <c r="G8">
        <v>578.5</v>
      </c>
      <c r="H8">
        <v>584</v>
      </c>
      <c r="I8">
        <v>592</v>
      </c>
      <c r="J8">
        <v>593</v>
      </c>
      <c r="L8">
        <v>0.35</v>
      </c>
      <c r="N8">
        <v>626</v>
      </c>
      <c r="O8">
        <v>634</v>
      </c>
      <c r="P8">
        <v>606</v>
      </c>
      <c r="Q8">
        <v>626</v>
      </c>
      <c r="R8">
        <v>586</v>
      </c>
      <c r="S8">
        <v>584</v>
      </c>
      <c r="T8">
        <v>606.5</v>
      </c>
      <c r="U8">
        <v>574</v>
      </c>
      <c r="V8">
        <v>570</v>
      </c>
      <c r="W8">
        <v>595.20000000000005</v>
      </c>
      <c r="X8">
        <v>552</v>
      </c>
      <c r="Y8">
        <v>265</v>
      </c>
      <c r="Z8">
        <v>431</v>
      </c>
    </row>
    <row r="9" spans="1:26" x14ac:dyDescent="0.25">
      <c r="A9">
        <v>7</v>
      </c>
      <c r="B9">
        <v>559.79999999999995</v>
      </c>
      <c r="C9">
        <v>564.79999999999995</v>
      </c>
      <c r="D9">
        <v>569.5</v>
      </c>
      <c r="E9">
        <v>575.79999999999995</v>
      </c>
      <c r="F9">
        <v>584.5</v>
      </c>
      <c r="G9">
        <v>594.5</v>
      </c>
      <c r="H9">
        <v>606.5</v>
      </c>
      <c r="I9">
        <v>620</v>
      </c>
      <c r="J9">
        <v>627</v>
      </c>
      <c r="L9">
        <v>0.4</v>
      </c>
      <c r="N9">
        <v>645</v>
      </c>
      <c r="O9">
        <v>656</v>
      </c>
      <c r="P9">
        <v>619</v>
      </c>
      <c r="Q9">
        <v>645</v>
      </c>
      <c r="R9">
        <v>593.79999999999995</v>
      </c>
      <c r="S9">
        <v>592</v>
      </c>
      <c r="T9">
        <v>620</v>
      </c>
      <c r="U9">
        <v>577.20000000000005</v>
      </c>
      <c r="V9">
        <v>572.70000000000005</v>
      </c>
      <c r="W9">
        <v>605.5</v>
      </c>
      <c r="X9">
        <v>549</v>
      </c>
      <c r="Y9">
        <v>185</v>
      </c>
      <c r="Z9">
        <v>390.5</v>
      </c>
    </row>
    <row r="10" spans="1:26" x14ac:dyDescent="0.25">
      <c r="A10">
        <v>8</v>
      </c>
      <c r="B10">
        <v>560</v>
      </c>
      <c r="C10">
        <v>561.5</v>
      </c>
      <c r="D10">
        <v>562.5</v>
      </c>
      <c r="E10">
        <v>565</v>
      </c>
      <c r="F10">
        <v>567.5</v>
      </c>
      <c r="G10">
        <v>570.5</v>
      </c>
      <c r="H10">
        <v>574</v>
      </c>
      <c r="I10">
        <v>577.20000000000005</v>
      </c>
      <c r="J10">
        <v>576</v>
      </c>
    </row>
    <row r="11" spans="1:26" x14ac:dyDescent="0.25">
      <c r="A11">
        <v>9</v>
      </c>
      <c r="B11">
        <v>560</v>
      </c>
      <c r="C11">
        <v>561.5</v>
      </c>
      <c r="D11">
        <v>561.5</v>
      </c>
      <c r="E11">
        <v>563.79999999999995</v>
      </c>
      <c r="F11">
        <v>565.5</v>
      </c>
      <c r="G11">
        <v>568.5</v>
      </c>
      <c r="H11">
        <v>570</v>
      </c>
      <c r="I11">
        <v>572.70000000000005</v>
      </c>
      <c r="J11">
        <v>571</v>
      </c>
    </row>
    <row r="12" spans="1:26" x14ac:dyDescent="0.25">
      <c r="A12">
        <v>10</v>
      </c>
      <c r="B12">
        <v>559</v>
      </c>
      <c r="C12">
        <v>563.5</v>
      </c>
      <c r="D12">
        <v>566.5</v>
      </c>
      <c r="E12">
        <v>571.5</v>
      </c>
      <c r="F12">
        <v>578</v>
      </c>
      <c r="G12">
        <v>586</v>
      </c>
      <c r="H12">
        <v>595.20000000000005</v>
      </c>
      <c r="I12">
        <v>605.5</v>
      </c>
      <c r="J12">
        <v>609.5</v>
      </c>
    </row>
    <row r="13" spans="1:26" x14ac:dyDescent="0.25">
      <c r="A13">
        <v>11</v>
      </c>
      <c r="B13">
        <v>598</v>
      </c>
      <c r="C13">
        <v>556.9</v>
      </c>
      <c r="D13">
        <v>556</v>
      </c>
      <c r="E13">
        <v>556.79999999999995</v>
      </c>
      <c r="F13">
        <v>557</v>
      </c>
      <c r="G13">
        <v>555</v>
      </c>
      <c r="H13">
        <v>552</v>
      </c>
      <c r="I13">
        <v>549</v>
      </c>
      <c r="J13">
        <v>538.5</v>
      </c>
    </row>
    <row r="14" spans="1:26" x14ac:dyDescent="0.25">
      <c r="A14">
        <v>12</v>
      </c>
      <c r="B14">
        <v>598.6</v>
      </c>
      <c r="C14">
        <v>527.70000000000005</v>
      </c>
      <c r="D14">
        <v>504</v>
      </c>
      <c r="E14">
        <v>460.5</v>
      </c>
      <c r="F14">
        <v>403</v>
      </c>
      <c r="G14">
        <v>336</v>
      </c>
      <c r="H14">
        <v>265</v>
      </c>
      <c r="I14">
        <v>185</v>
      </c>
    </row>
    <row r="15" spans="1:26" x14ac:dyDescent="0.25">
      <c r="A15">
        <v>13</v>
      </c>
      <c r="B15">
        <v>560</v>
      </c>
      <c r="C15">
        <v>541</v>
      </c>
      <c r="D15">
        <v>526.5</v>
      </c>
      <c r="E15">
        <v>508.5</v>
      </c>
      <c r="F15">
        <v>489</v>
      </c>
      <c r="G15">
        <v>465</v>
      </c>
      <c r="H15">
        <v>431</v>
      </c>
      <c r="I15">
        <v>390.5</v>
      </c>
      <c r="J15">
        <v>335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7"/>
  <sheetViews>
    <sheetView tabSelected="1" topLeftCell="A22" zoomScaleNormal="100" workbookViewId="0">
      <selection activeCell="L39" sqref="L39"/>
    </sheetView>
  </sheetViews>
  <sheetFormatPr defaultRowHeight="14.4" x14ac:dyDescent="0.25"/>
  <sheetData>
    <row r="1" spans="1:10" x14ac:dyDescent="0.25">
      <c r="A1" t="s">
        <v>0</v>
      </c>
      <c r="B1">
        <v>0</v>
      </c>
      <c r="C1">
        <v>0.113</v>
      </c>
      <c r="D1">
        <v>0.15</v>
      </c>
      <c r="E1">
        <v>0.2</v>
      </c>
      <c r="F1">
        <v>0.25</v>
      </c>
      <c r="G1">
        <v>0.3</v>
      </c>
      <c r="H1">
        <v>0.35</v>
      </c>
      <c r="I1">
        <v>0.4</v>
      </c>
    </row>
    <row r="2" spans="1:10" x14ac:dyDescent="0.25">
      <c r="A2" t="s">
        <v>1</v>
      </c>
    </row>
    <row r="3" spans="1:10" x14ac:dyDescent="0.25">
      <c r="A3" s="1">
        <v>1</v>
      </c>
      <c r="B3" s="1">
        <v>560</v>
      </c>
      <c r="C3" s="1">
        <v>568</v>
      </c>
      <c r="D3" s="1">
        <v>573</v>
      </c>
      <c r="E3" s="1">
        <v>583</v>
      </c>
      <c r="F3" s="1">
        <v>595</v>
      </c>
      <c r="G3" s="1">
        <v>609.79999999999995</v>
      </c>
      <c r="H3" s="1">
        <v>626</v>
      </c>
      <c r="I3" s="1">
        <v>645</v>
      </c>
      <c r="J3" s="1"/>
    </row>
    <row r="4" spans="1:10" x14ac:dyDescent="0.25">
      <c r="A4" s="1">
        <v>2</v>
      </c>
      <c r="B4" s="1">
        <v>559.79999999999995</v>
      </c>
      <c r="C4" s="1">
        <v>568.5</v>
      </c>
      <c r="D4" s="1">
        <v>573.5</v>
      </c>
      <c r="E4" s="1">
        <v>586</v>
      </c>
      <c r="F4" s="1">
        <v>599</v>
      </c>
      <c r="G4" s="1">
        <v>615.5</v>
      </c>
      <c r="H4" s="1">
        <v>634</v>
      </c>
      <c r="I4" s="1">
        <v>656</v>
      </c>
      <c r="J4" s="1"/>
    </row>
    <row r="5" spans="1:10" x14ac:dyDescent="0.25">
      <c r="A5">
        <v>3</v>
      </c>
      <c r="B5">
        <v>560</v>
      </c>
      <c r="C5">
        <v>565.5</v>
      </c>
      <c r="D5">
        <v>570</v>
      </c>
      <c r="E5">
        <v>577</v>
      </c>
      <c r="F5">
        <v>585</v>
      </c>
      <c r="G5">
        <v>595</v>
      </c>
      <c r="H5">
        <v>606</v>
      </c>
      <c r="I5">
        <v>619</v>
      </c>
    </row>
    <row r="6" spans="1:10" x14ac:dyDescent="0.25">
      <c r="A6">
        <v>4</v>
      </c>
      <c r="B6">
        <v>559</v>
      </c>
      <c r="C6">
        <v>566.20000000000005</v>
      </c>
      <c r="D6">
        <v>572</v>
      </c>
      <c r="E6">
        <v>582</v>
      </c>
      <c r="F6">
        <v>594</v>
      </c>
      <c r="G6">
        <v>609</v>
      </c>
      <c r="H6">
        <v>626</v>
      </c>
      <c r="I6">
        <v>645</v>
      </c>
    </row>
    <row r="7" spans="1:10" x14ac:dyDescent="0.25">
      <c r="A7" s="1">
        <v>5</v>
      </c>
      <c r="B7" s="1">
        <v>560</v>
      </c>
      <c r="C7" s="1">
        <v>562.9</v>
      </c>
      <c r="D7" s="1">
        <v>565</v>
      </c>
      <c r="E7" s="1">
        <v>570</v>
      </c>
      <c r="F7" s="1">
        <v>574</v>
      </c>
      <c r="G7" s="1">
        <v>580</v>
      </c>
      <c r="H7" s="1">
        <v>586</v>
      </c>
      <c r="I7" s="1">
        <v>593.79999999999995</v>
      </c>
      <c r="J7" s="1"/>
    </row>
    <row r="8" spans="1:10" x14ac:dyDescent="0.25">
      <c r="A8" s="1">
        <v>6</v>
      </c>
      <c r="B8" s="1">
        <v>559.79999999999995</v>
      </c>
      <c r="C8" s="1">
        <v>562.5</v>
      </c>
      <c r="D8" s="1">
        <v>564.5</v>
      </c>
      <c r="E8" s="1">
        <v>568.79999999999995</v>
      </c>
      <c r="F8" s="1">
        <v>573</v>
      </c>
      <c r="G8" s="1">
        <v>578.5</v>
      </c>
      <c r="H8" s="1">
        <v>584</v>
      </c>
      <c r="I8" s="1">
        <v>592</v>
      </c>
      <c r="J8" s="1"/>
    </row>
    <row r="9" spans="1:10" x14ac:dyDescent="0.25">
      <c r="A9" s="1">
        <v>7</v>
      </c>
      <c r="B9" s="1">
        <v>559.79999999999995</v>
      </c>
      <c r="C9" s="1">
        <v>564.79999999999995</v>
      </c>
      <c r="D9" s="1">
        <v>569.5</v>
      </c>
      <c r="E9" s="1">
        <v>575.79999999999995</v>
      </c>
      <c r="F9" s="1">
        <v>584.5</v>
      </c>
      <c r="G9" s="1">
        <v>594.5</v>
      </c>
      <c r="H9" s="1">
        <v>606.5</v>
      </c>
      <c r="I9" s="1">
        <v>620</v>
      </c>
      <c r="J9" s="1"/>
    </row>
    <row r="10" spans="1:10" x14ac:dyDescent="0.25">
      <c r="A10">
        <v>8</v>
      </c>
      <c r="B10">
        <v>560</v>
      </c>
      <c r="C10">
        <v>561.5</v>
      </c>
      <c r="D10">
        <v>562.5</v>
      </c>
      <c r="E10">
        <v>565</v>
      </c>
      <c r="F10">
        <v>567.5</v>
      </c>
      <c r="G10">
        <v>570.5</v>
      </c>
      <c r="H10">
        <v>574</v>
      </c>
      <c r="I10">
        <v>577.20000000000005</v>
      </c>
    </row>
    <row r="11" spans="1:10" x14ac:dyDescent="0.25">
      <c r="A11">
        <v>9</v>
      </c>
      <c r="B11">
        <v>560</v>
      </c>
      <c r="C11">
        <v>561.5</v>
      </c>
      <c r="D11">
        <v>561.5</v>
      </c>
      <c r="E11">
        <v>563.79999999999995</v>
      </c>
      <c r="F11">
        <v>565.5</v>
      </c>
      <c r="G11">
        <v>568.5</v>
      </c>
      <c r="H11">
        <v>570</v>
      </c>
      <c r="I11">
        <v>572.70000000000005</v>
      </c>
    </row>
    <row r="12" spans="1:10" x14ac:dyDescent="0.25">
      <c r="A12">
        <v>10</v>
      </c>
      <c r="B12">
        <v>559</v>
      </c>
      <c r="C12">
        <v>563.5</v>
      </c>
      <c r="D12">
        <v>566.5</v>
      </c>
      <c r="E12">
        <v>571.5</v>
      </c>
      <c r="F12">
        <v>578</v>
      </c>
      <c r="G12">
        <v>586</v>
      </c>
      <c r="H12">
        <v>595.20000000000005</v>
      </c>
      <c r="I12">
        <v>605.5</v>
      </c>
    </row>
    <row r="13" spans="1:10" x14ac:dyDescent="0.25">
      <c r="A13" s="1">
        <v>11</v>
      </c>
      <c r="B13" s="1">
        <v>558</v>
      </c>
      <c r="C13" s="1">
        <v>556.9</v>
      </c>
      <c r="D13" s="1">
        <v>556</v>
      </c>
      <c r="E13" s="1">
        <v>556.79999999999995</v>
      </c>
      <c r="F13" s="1">
        <v>557</v>
      </c>
      <c r="G13" s="1">
        <v>555</v>
      </c>
      <c r="H13" s="1">
        <v>552</v>
      </c>
      <c r="I13" s="1">
        <v>549</v>
      </c>
      <c r="J13" s="1"/>
    </row>
    <row r="14" spans="1:10" x14ac:dyDescent="0.25">
      <c r="A14" s="1">
        <v>12</v>
      </c>
      <c r="B14" s="1">
        <v>558.6</v>
      </c>
      <c r="C14" s="1">
        <v>527.70000000000005</v>
      </c>
      <c r="D14" s="1">
        <v>504</v>
      </c>
      <c r="E14" s="1">
        <v>460.5</v>
      </c>
      <c r="F14" s="1">
        <v>403</v>
      </c>
      <c r="G14" s="1">
        <v>336</v>
      </c>
      <c r="H14" s="1">
        <v>265</v>
      </c>
      <c r="I14" s="1">
        <v>185</v>
      </c>
      <c r="J14" s="1"/>
    </row>
    <row r="15" spans="1:10" x14ac:dyDescent="0.25">
      <c r="A15" s="1">
        <v>13</v>
      </c>
      <c r="B15" s="1">
        <v>560</v>
      </c>
      <c r="C15" s="1">
        <v>541</v>
      </c>
      <c r="D15" s="1">
        <v>526.5</v>
      </c>
      <c r="E15" s="1">
        <v>508.5</v>
      </c>
      <c r="F15" s="1">
        <v>489</v>
      </c>
      <c r="G15" s="1">
        <v>465</v>
      </c>
      <c r="H15" s="1">
        <v>431</v>
      </c>
      <c r="I15" s="1">
        <v>390.5</v>
      </c>
      <c r="J15" s="1"/>
    </row>
    <row r="17" spans="1:9" x14ac:dyDescent="0.25">
      <c r="A17" t="s">
        <v>19</v>
      </c>
    </row>
    <row r="18" spans="1:9" x14ac:dyDescent="0.25">
      <c r="A18" t="s">
        <v>3</v>
      </c>
      <c r="B18">
        <v>0</v>
      </c>
      <c r="C18">
        <f t="shared" ref="C18:J18" si="0">SQRT(2*9.8*(C4-C3)*0.001)</f>
        <v>9.8994949366116664E-2</v>
      </c>
      <c r="D18">
        <f t="shared" si="0"/>
        <v>9.8994949366116664E-2</v>
      </c>
      <c r="E18">
        <f t="shared" si="0"/>
        <v>0.24248711305964282</v>
      </c>
      <c r="F18">
        <f t="shared" si="0"/>
        <v>0.28000000000000003</v>
      </c>
      <c r="G18">
        <f t="shared" si="0"/>
        <v>0.33424541881677439</v>
      </c>
      <c r="H18">
        <f t="shared" si="0"/>
        <v>0.39597979746446665</v>
      </c>
      <c r="I18">
        <f t="shared" si="0"/>
        <v>0.46432747064975599</v>
      </c>
    </row>
    <row r="19" spans="1:9" x14ac:dyDescent="0.25">
      <c r="A19" t="s">
        <v>5</v>
      </c>
      <c r="B19">
        <v>0</v>
      </c>
      <c r="C19">
        <f t="shared" ref="C19:J19" si="1">SQRT(2*9.8*(C6-C5)*0.001)</f>
        <v>0.11713240371477439</v>
      </c>
      <c r="D19">
        <f t="shared" si="1"/>
        <v>0.19798989873223333</v>
      </c>
      <c r="E19">
        <f t="shared" si="1"/>
        <v>0.31304951684997057</v>
      </c>
      <c r="F19">
        <f t="shared" si="1"/>
        <v>0.42</v>
      </c>
      <c r="G19">
        <f t="shared" si="1"/>
        <v>0.52383203414835178</v>
      </c>
      <c r="H19">
        <f t="shared" si="1"/>
        <v>0.62609903369994113</v>
      </c>
      <c r="I19">
        <f t="shared" si="1"/>
        <v>0.71386273190298988</v>
      </c>
    </row>
    <row r="20" spans="1:9" x14ac:dyDescent="0.25">
      <c r="A20" t="s">
        <v>7</v>
      </c>
      <c r="B20">
        <v>0</v>
      </c>
      <c r="C20">
        <f t="shared" ref="C20:J20" si="2">SQRT(2*9.8*(C9-(C7+C8)/2)*0.001)</f>
        <v>0.20287927444664774</v>
      </c>
      <c r="D20">
        <f t="shared" si="2"/>
        <v>0.30512292604784719</v>
      </c>
      <c r="E20">
        <f t="shared" si="2"/>
        <v>0.35417509793885787</v>
      </c>
      <c r="F20">
        <f t="shared" si="2"/>
        <v>0.46432747064975599</v>
      </c>
      <c r="G20">
        <f t="shared" si="2"/>
        <v>0.54671747731346587</v>
      </c>
      <c r="H20">
        <f t="shared" si="2"/>
        <v>0.64915329468469929</v>
      </c>
      <c r="I20">
        <f t="shared" si="2"/>
        <v>0.72880724474994107</v>
      </c>
    </row>
    <row r="21" spans="1:9" x14ac:dyDescent="0.25">
      <c r="A21" t="s">
        <v>9</v>
      </c>
      <c r="B21">
        <v>0</v>
      </c>
      <c r="C21">
        <f t="shared" ref="C21:J21" si="3">SQRT(2*9.8*(C12-(C11+C10)/2)*0.001)</f>
        <v>0.19798989873223333</v>
      </c>
      <c r="D21">
        <f t="shared" si="3"/>
        <v>0.29698484809834996</v>
      </c>
      <c r="E21">
        <f t="shared" si="3"/>
        <v>0.373041552645279</v>
      </c>
      <c r="F21">
        <f t="shared" si="3"/>
        <v>0.47476309881876877</v>
      </c>
      <c r="G21">
        <f t="shared" si="3"/>
        <v>0.56868268832451729</v>
      </c>
      <c r="H21">
        <f t="shared" si="3"/>
        <v>0.67432929641236927</v>
      </c>
      <c r="I21">
        <f t="shared" si="3"/>
        <v>0.7738087619043863</v>
      </c>
    </row>
    <row r="23" spans="1:9" x14ac:dyDescent="0.25">
      <c r="A23" t="s">
        <v>17</v>
      </c>
    </row>
    <row r="24" spans="1:9" x14ac:dyDescent="0.25">
      <c r="A24" t="s">
        <v>3</v>
      </c>
      <c r="B24">
        <f>4*B$1/(3.1415926*(20*0.001)^2)/3600</f>
        <v>0</v>
      </c>
      <c r="C24">
        <f t="shared" ref="C24:J24" si="4">4*C$1/(3.1415926*(20*0.001)^2)/3600</f>
        <v>9.9913938200926769E-2</v>
      </c>
      <c r="D24">
        <f t="shared" si="4"/>
        <v>0.13262912150565501</v>
      </c>
      <c r="E24">
        <f t="shared" si="4"/>
        <v>0.17683882867420667</v>
      </c>
      <c r="F24">
        <f t="shared" si="4"/>
        <v>0.22104853584275835</v>
      </c>
      <c r="G24">
        <f t="shared" si="4"/>
        <v>0.26525824301131001</v>
      </c>
      <c r="H24">
        <f t="shared" si="4"/>
        <v>0.30946795017986162</v>
      </c>
      <c r="I24">
        <f t="shared" si="4"/>
        <v>0.35367765734841333</v>
      </c>
    </row>
    <row r="25" spans="1:9" x14ac:dyDescent="0.25">
      <c r="A25" t="s">
        <v>5</v>
      </c>
      <c r="B25">
        <f>4*B$1/(3.1415926*(15*0.001)^2)/3600</f>
        <v>0</v>
      </c>
      <c r="C25">
        <f t="shared" ref="C25:J27" si="5">4*C$1/(3.1415926*(15*0.001)^2)/3600</f>
        <v>0.17762477902386983</v>
      </c>
      <c r="D25">
        <f t="shared" si="5"/>
        <v>0.23578510489894228</v>
      </c>
      <c r="E25">
        <f t="shared" si="5"/>
        <v>0.31438013986525637</v>
      </c>
      <c r="F25">
        <f t="shared" si="5"/>
        <v>0.39297517483157041</v>
      </c>
      <c r="G25">
        <f t="shared" si="5"/>
        <v>0.47157020979788455</v>
      </c>
      <c r="H25">
        <f t="shared" si="5"/>
        <v>0.55016524476419859</v>
      </c>
      <c r="I25">
        <f t="shared" si="5"/>
        <v>0.62876027973051274</v>
      </c>
    </row>
    <row r="26" spans="1:9" x14ac:dyDescent="0.25">
      <c r="A26" t="s">
        <v>7</v>
      </c>
      <c r="B26">
        <f>4*B$1/(3.1415926*(15*0.001)^2)/3600</f>
        <v>0</v>
      </c>
      <c r="C26">
        <f t="shared" si="5"/>
        <v>0.17762477902386983</v>
      </c>
      <c r="D26">
        <f t="shared" si="5"/>
        <v>0.23578510489894228</v>
      </c>
      <c r="E26">
        <f t="shared" si="5"/>
        <v>0.31438013986525637</v>
      </c>
      <c r="F26">
        <f t="shared" si="5"/>
        <v>0.39297517483157041</v>
      </c>
      <c r="G26">
        <f t="shared" si="5"/>
        <v>0.47157020979788455</v>
      </c>
      <c r="H26">
        <f t="shared" si="5"/>
        <v>0.55016524476419859</v>
      </c>
      <c r="I26">
        <f t="shared" si="5"/>
        <v>0.62876027973051274</v>
      </c>
    </row>
    <row r="27" spans="1:9" x14ac:dyDescent="0.25">
      <c r="A27" t="s">
        <v>9</v>
      </c>
      <c r="B27">
        <f>4*B$1/(3.1415926*(15*0.001)^2)/3600</f>
        <v>0</v>
      </c>
      <c r="C27">
        <f t="shared" si="5"/>
        <v>0.17762477902386983</v>
      </c>
      <c r="D27">
        <f t="shared" si="5"/>
        <v>0.23578510489894228</v>
      </c>
      <c r="E27">
        <f t="shared" si="5"/>
        <v>0.31438013986525637</v>
      </c>
      <c r="F27">
        <f t="shared" si="5"/>
        <v>0.39297517483157041</v>
      </c>
      <c r="G27">
        <f t="shared" si="5"/>
        <v>0.47157020979788455</v>
      </c>
      <c r="H27">
        <f t="shared" si="5"/>
        <v>0.55016524476419859</v>
      </c>
      <c r="I27">
        <f t="shared" si="5"/>
        <v>0.62876027973051274</v>
      </c>
    </row>
    <row r="30" spans="1:9" x14ac:dyDescent="0.25">
      <c r="A30" t="s">
        <v>21</v>
      </c>
    </row>
    <row r="31" spans="1:9" x14ac:dyDescent="0.25">
      <c r="A31" t="s">
        <v>3</v>
      </c>
      <c r="B31">
        <f>B4-B3</f>
        <v>-0.20000000000004547</v>
      </c>
      <c r="C31">
        <f t="shared" ref="C31:J31" si="6">C4-C3</f>
        <v>0.5</v>
      </c>
      <c r="D31">
        <f t="shared" si="6"/>
        <v>0.5</v>
      </c>
      <c r="E31">
        <f t="shared" si="6"/>
        <v>3</v>
      </c>
      <c r="F31">
        <f t="shared" si="6"/>
        <v>4</v>
      </c>
      <c r="G31">
        <f t="shared" si="6"/>
        <v>5.7000000000000455</v>
      </c>
      <c r="H31">
        <f t="shared" si="6"/>
        <v>8</v>
      </c>
      <c r="I31">
        <f t="shared" si="6"/>
        <v>11</v>
      </c>
    </row>
    <row r="32" spans="1:9" x14ac:dyDescent="0.25">
      <c r="A32" t="s">
        <v>5</v>
      </c>
      <c r="B32">
        <f>B6-B5</f>
        <v>-1</v>
      </c>
      <c r="C32">
        <f t="shared" ref="C32:J32" si="7">C6-C5</f>
        <v>0.70000000000004547</v>
      </c>
      <c r="D32">
        <f t="shared" si="7"/>
        <v>2</v>
      </c>
      <c r="E32">
        <f t="shared" si="7"/>
        <v>5</v>
      </c>
      <c r="F32">
        <f t="shared" si="7"/>
        <v>9</v>
      </c>
      <c r="G32">
        <f t="shared" si="7"/>
        <v>14</v>
      </c>
      <c r="H32">
        <f t="shared" si="7"/>
        <v>20</v>
      </c>
      <c r="I32">
        <f t="shared" si="7"/>
        <v>26</v>
      </c>
    </row>
    <row r="33" spans="1:19" x14ac:dyDescent="0.25">
      <c r="A33" t="s">
        <v>7</v>
      </c>
      <c r="B33">
        <f>B9-(B7+B8)/2</f>
        <v>-0.10000000000002274</v>
      </c>
      <c r="C33">
        <f t="shared" ref="C33:J33" si="8">C9-(C7+C8)/2</f>
        <v>2.0999999999999091</v>
      </c>
      <c r="D33">
        <f t="shared" si="8"/>
        <v>4.75</v>
      </c>
      <c r="E33">
        <f t="shared" si="8"/>
        <v>6.3999999999999773</v>
      </c>
      <c r="F33">
        <f t="shared" si="8"/>
        <v>11</v>
      </c>
      <c r="G33">
        <f t="shared" si="8"/>
        <v>15.25</v>
      </c>
      <c r="H33">
        <f t="shared" si="8"/>
        <v>21.5</v>
      </c>
      <c r="I33">
        <f t="shared" si="8"/>
        <v>27.100000000000023</v>
      </c>
    </row>
    <row r="34" spans="1:19" x14ac:dyDescent="0.25">
      <c r="A34" t="s">
        <v>9</v>
      </c>
      <c r="B34">
        <f>B12-(B11+B10)/2</f>
        <v>-1</v>
      </c>
      <c r="C34">
        <f t="shared" ref="C34:J34" si="9">C12-(C11+C10)/2</f>
        <v>2</v>
      </c>
      <c r="D34">
        <f t="shared" si="9"/>
        <v>4.5</v>
      </c>
      <c r="E34">
        <f t="shared" si="9"/>
        <v>7.1000000000000227</v>
      </c>
      <c r="F34">
        <f t="shared" si="9"/>
        <v>11.5</v>
      </c>
      <c r="G34">
        <f t="shared" si="9"/>
        <v>16.5</v>
      </c>
      <c r="H34">
        <f t="shared" si="9"/>
        <v>23.200000000000045</v>
      </c>
      <c r="I34">
        <f t="shared" si="9"/>
        <v>30.549999999999955</v>
      </c>
    </row>
    <row r="36" spans="1:19" x14ac:dyDescent="0.25">
      <c r="A36" t="s">
        <v>23</v>
      </c>
    </row>
    <row r="37" spans="1:19" x14ac:dyDescent="0.25">
      <c r="A37" t="s">
        <v>3</v>
      </c>
      <c r="B37">
        <f>B3</f>
        <v>560</v>
      </c>
      <c r="C37">
        <f t="shared" ref="C37:J37" si="10">C3</f>
        <v>568</v>
      </c>
      <c r="D37">
        <f t="shared" si="10"/>
        <v>573</v>
      </c>
      <c r="E37">
        <f t="shared" si="10"/>
        <v>583</v>
      </c>
      <c r="F37">
        <f t="shared" si="10"/>
        <v>595</v>
      </c>
      <c r="G37">
        <f t="shared" si="10"/>
        <v>609.79999999999995</v>
      </c>
      <c r="H37">
        <f t="shared" si="10"/>
        <v>626</v>
      </c>
      <c r="I37">
        <f t="shared" si="10"/>
        <v>645</v>
      </c>
    </row>
    <row r="38" spans="1:19" x14ac:dyDescent="0.25">
      <c r="A38" t="s">
        <v>5</v>
      </c>
      <c r="B38">
        <f>B5</f>
        <v>560</v>
      </c>
      <c r="C38">
        <f t="shared" ref="C38:J38" si="11">C5</f>
        <v>565.5</v>
      </c>
      <c r="D38">
        <f t="shared" si="11"/>
        <v>570</v>
      </c>
      <c r="E38">
        <f t="shared" si="11"/>
        <v>577</v>
      </c>
      <c r="F38">
        <f t="shared" si="11"/>
        <v>585</v>
      </c>
      <c r="G38">
        <f t="shared" si="11"/>
        <v>595</v>
      </c>
      <c r="H38">
        <f t="shared" si="11"/>
        <v>606</v>
      </c>
      <c r="I38">
        <f t="shared" si="11"/>
        <v>619</v>
      </c>
    </row>
    <row r="39" spans="1:19" x14ac:dyDescent="0.25">
      <c r="A39" t="s">
        <v>7</v>
      </c>
      <c r="B39">
        <f>(B7+B8)/2</f>
        <v>559.9</v>
      </c>
      <c r="C39">
        <f t="shared" ref="C39:J39" si="12">(C7+C8)/2</f>
        <v>562.70000000000005</v>
      </c>
      <c r="D39">
        <f t="shared" si="12"/>
        <v>564.75</v>
      </c>
      <c r="E39">
        <f t="shared" si="12"/>
        <v>569.4</v>
      </c>
      <c r="F39">
        <f t="shared" si="12"/>
        <v>573.5</v>
      </c>
      <c r="G39">
        <f t="shared" si="12"/>
        <v>579.25</v>
      </c>
      <c r="H39">
        <f t="shared" si="12"/>
        <v>585</v>
      </c>
      <c r="I39">
        <f t="shared" si="12"/>
        <v>592.9</v>
      </c>
    </row>
    <row r="40" spans="1:19" x14ac:dyDescent="0.25">
      <c r="A40" t="s">
        <v>9</v>
      </c>
      <c r="B40">
        <f>(B10+B11)/2</f>
        <v>560</v>
      </c>
      <c r="C40">
        <f t="shared" ref="C40:J40" si="13">(C10+C11)/2</f>
        <v>561.5</v>
      </c>
      <c r="D40">
        <f t="shared" si="13"/>
        <v>562</v>
      </c>
      <c r="E40">
        <f t="shared" si="13"/>
        <v>564.4</v>
      </c>
      <c r="F40">
        <f t="shared" si="13"/>
        <v>566.5</v>
      </c>
      <c r="G40">
        <f t="shared" si="13"/>
        <v>569.5</v>
      </c>
      <c r="H40">
        <f t="shared" si="13"/>
        <v>572</v>
      </c>
      <c r="I40">
        <f t="shared" si="13"/>
        <v>574.95000000000005</v>
      </c>
    </row>
    <row r="42" spans="1:19" x14ac:dyDescent="0.25">
      <c r="A42" t="s">
        <v>25</v>
      </c>
      <c r="K42" t="s">
        <v>29</v>
      </c>
    </row>
    <row r="43" spans="1:19" x14ac:dyDescent="0.25">
      <c r="A43" t="s">
        <v>3</v>
      </c>
      <c r="B43">
        <f>B4</f>
        <v>559.79999999999995</v>
      </c>
      <c r="C43">
        <f t="shared" ref="C43:J43" si="14">C4</f>
        <v>568.5</v>
      </c>
      <c r="D43">
        <f t="shared" si="14"/>
        <v>573.5</v>
      </c>
      <c r="E43">
        <f t="shared" si="14"/>
        <v>586</v>
      </c>
      <c r="F43">
        <f t="shared" si="14"/>
        <v>599</v>
      </c>
      <c r="G43">
        <f t="shared" si="14"/>
        <v>615.5</v>
      </c>
      <c r="H43">
        <f t="shared" si="14"/>
        <v>634</v>
      </c>
      <c r="I43">
        <f t="shared" si="14"/>
        <v>656</v>
      </c>
      <c r="K43">
        <v>12</v>
      </c>
      <c r="L43">
        <f>B43-B44</f>
        <v>0.79999999999995453</v>
      </c>
      <c r="M43">
        <f t="shared" ref="M43:S45" si="15">C43-C44</f>
        <v>2.2999999999999545</v>
      </c>
      <c r="N43">
        <f t="shared" si="15"/>
        <v>1.5</v>
      </c>
      <c r="O43">
        <f t="shared" si="15"/>
        <v>4</v>
      </c>
      <c r="P43">
        <f t="shared" si="15"/>
        <v>5</v>
      </c>
      <c r="Q43">
        <f t="shared" si="15"/>
        <v>6.5</v>
      </c>
      <c r="R43">
        <f t="shared" si="15"/>
        <v>8</v>
      </c>
      <c r="S43">
        <f t="shared" si="15"/>
        <v>11</v>
      </c>
    </row>
    <row r="44" spans="1:19" x14ac:dyDescent="0.25">
      <c r="A44" t="s">
        <v>5</v>
      </c>
      <c r="B44">
        <f>B6</f>
        <v>559</v>
      </c>
      <c r="C44">
        <f t="shared" ref="C44:J44" si="16">C6</f>
        <v>566.20000000000005</v>
      </c>
      <c r="D44">
        <f t="shared" si="16"/>
        <v>572</v>
      </c>
      <c r="E44">
        <f t="shared" si="16"/>
        <v>582</v>
      </c>
      <c r="F44">
        <f t="shared" si="16"/>
        <v>594</v>
      </c>
      <c r="G44">
        <f t="shared" si="16"/>
        <v>609</v>
      </c>
      <c r="H44">
        <f t="shared" si="16"/>
        <v>626</v>
      </c>
      <c r="I44">
        <f t="shared" si="16"/>
        <v>645</v>
      </c>
      <c r="K44">
        <v>23</v>
      </c>
      <c r="L44">
        <f t="shared" ref="L44:L45" si="17">B44-B45</f>
        <v>-0.79999999999995453</v>
      </c>
      <c r="M44">
        <f t="shared" si="15"/>
        <v>1.4000000000000909</v>
      </c>
      <c r="N44">
        <f t="shared" si="15"/>
        <v>2.5</v>
      </c>
      <c r="O44">
        <f t="shared" si="15"/>
        <v>6.2000000000000455</v>
      </c>
      <c r="P44">
        <f t="shared" si="15"/>
        <v>9.5</v>
      </c>
      <c r="Q44">
        <f t="shared" si="15"/>
        <v>14.5</v>
      </c>
      <c r="R44">
        <f t="shared" si="15"/>
        <v>19.5</v>
      </c>
      <c r="S44">
        <f t="shared" si="15"/>
        <v>25</v>
      </c>
    </row>
    <row r="45" spans="1:19" x14ac:dyDescent="0.25">
      <c r="A45" t="s">
        <v>7</v>
      </c>
      <c r="B45">
        <f>B9</f>
        <v>559.79999999999995</v>
      </c>
      <c r="C45">
        <f t="shared" ref="C45:J45" si="18">C9</f>
        <v>564.79999999999995</v>
      </c>
      <c r="D45">
        <f t="shared" si="18"/>
        <v>569.5</v>
      </c>
      <c r="E45">
        <f t="shared" si="18"/>
        <v>575.79999999999995</v>
      </c>
      <c r="F45">
        <f t="shared" si="18"/>
        <v>584.5</v>
      </c>
      <c r="G45">
        <f t="shared" si="18"/>
        <v>594.5</v>
      </c>
      <c r="H45">
        <f t="shared" si="18"/>
        <v>606.5</v>
      </c>
      <c r="I45">
        <f t="shared" si="18"/>
        <v>620</v>
      </c>
      <c r="K45">
        <v>34</v>
      </c>
      <c r="L45">
        <f t="shared" si="17"/>
        <v>0.79999999999995453</v>
      </c>
      <c r="M45">
        <f t="shared" si="15"/>
        <v>1.2999999999999545</v>
      </c>
      <c r="N45">
        <f t="shared" si="15"/>
        <v>3</v>
      </c>
      <c r="O45">
        <f t="shared" si="15"/>
        <v>4.2999999999999545</v>
      </c>
      <c r="P45">
        <f t="shared" si="15"/>
        <v>6.5</v>
      </c>
      <c r="Q45">
        <f t="shared" si="15"/>
        <v>8.5</v>
      </c>
      <c r="R45">
        <f t="shared" si="15"/>
        <v>11.299999999999955</v>
      </c>
      <c r="S45">
        <f t="shared" si="15"/>
        <v>14.5</v>
      </c>
    </row>
    <row r="46" spans="1:19" x14ac:dyDescent="0.25">
      <c r="A46" t="s">
        <v>9</v>
      </c>
      <c r="B46">
        <f>B12</f>
        <v>559</v>
      </c>
      <c r="C46">
        <f t="shared" ref="C46:J46" si="19">C12</f>
        <v>563.5</v>
      </c>
      <c r="D46">
        <f t="shared" si="19"/>
        <v>566.5</v>
      </c>
      <c r="E46">
        <f t="shared" si="19"/>
        <v>571.5</v>
      </c>
      <c r="F46">
        <f t="shared" si="19"/>
        <v>578</v>
      </c>
      <c r="G46">
        <f t="shared" si="19"/>
        <v>586</v>
      </c>
      <c r="H46">
        <f t="shared" si="19"/>
        <v>595.20000000000005</v>
      </c>
      <c r="I46">
        <f t="shared" si="19"/>
        <v>605.5</v>
      </c>
    </row>
    <row r="54" spans="1:9" x14ac:dyDescent="0.25">
      <c r="A54" t="s">
        <v>24</v>
      </c>
    </row>
    <row r="55" spans="1:9" x14ac:dyDescent="0.25">
      <c r="A55" t="s">
        <v>11</v>
      </c>
      <c r="B55" t="e">
        <f>SQRT(2*(B13-B14)/(1000*((4)^2-1)))</f>
        <v>#NUM!</v>
      </c>
      <c r="C55">
        <f t="shared" ref="C55:I55" si="20">SQRT(2*(C13-C14)/(1000*((4)^2-1)))</f>
        <v>6.2396581102920408E-2</v>
      </c>
      <c r="D55">
        <f t="shared" si="20"/>
        <v>8.3266639978645307E-2</v>
      </c>
      <c r="E55">
        <f t="shared" si="20"/>
        <v>0.11331372379372233</v>
      </c>
      <c r="F55">
        <f t="shared" si="20"/>
        <v>0.14329456840136451</v>
      </c>
      <c r="G55">
        <f t="shared" si="20"/>
        <v>0.17088007490635063</v>
      </c>
      <c r="H55">
        <f t="shared" si="20"/>
        <v>0.19561867668161612</v>
      </c>
      <c r="I55">
        <f t="shared" si="20"/>
        <v>0.22030282189144407</v>
      </c>
    </row>
    <row r="56" spans="1:9" x14ac:dyDescent="0.25">
      <c r="A56" t="s">
        <v>13</v>
      </c>
      <c r="B56">
        <f>SQRT(2*(B14-B15)/(1000*((0.25)^2-1)))</f>
        <v>5.4650404085117413E-2</v>
      </c>
      <c r="C56">
        <f t="shared" ref="C56:I56" si="21">SQRT(2*(C14-C15)/(1000*((0.25)^2-1)))</f>
        <v>0.16844385810510645</v>
      </c>
      <c r="D56">
        <f t="shared" si="21"/>
        <v>0.21908902300206645</v>
      </c>
      <c r="E56">
        <f t="shared" si="21"/>
        <v>0.32</v>
      </c>
      <c r="F56">
        <f t="shared" si="21"/>
        <v>0.42833009077890694</v>
      </c>
      <c r="G56">
        <f t="shared" si="21"/>
        <v>0.52459508194416005</v>
      </c>
      <c r="H56">
        <f t="shared" si="21"/>
        <v>0.59509102945123726</v>
      </c>
      <c r="I56">
        <f t="shared" si="21"/>
        <v>0.66211781428987393</v>
      </c>
    </row>
    <row r="57" spans="1:9" x14ac:dyDescent="0.25">
      <c r="A57" t="s">
        <v>15</v>
      </c>
      <c r="B57">
        <f>SQRT(2*(B15-B14)/(1000*((4)^2-1)))</f>
        <v>1.3662601021279353E-2</v>
      </c>
      <c r="C57">
        <f t="shared" ref="C57:I57" si="22">SQRT(2*(C15-C14)/(1000*((4)^2-1)))</f>
        <v>4.2110964526276613E-2</v>
      </c>
      <c r="D57">
        <f t="shared" si="22"/>
        <v>5.4772255750516613E-2</v>
      </c>
      <c r="E57">
        <f t="shared" si="22"/>
        <v>0.08</v>
      </c>
      <c r="F57">
        <f t="shared" si="22"/>
        <v>0.10708252269472673</v>
      </c>
      <c r="G57">
        <f t="shared" si="22"/>
        <v>0.13114877048604001</v>
      </c>
      <c r="H57">
        <f t="shared" si="22"/>
        <v>0.14877275736280932</v>
      </c>
      <c r="I57">
        <f t="shared" si="22"/>
        <v>0.16552945357246848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FBCF-04C6-4C78-979B-820E4CD2A7D7}">
  <dimension ref="A1:O10"/>
  <sheetViews>
    <sheetView workbookViewId="0">
      <selection activeCell="L1" sqref="L1:P14"/>
    </sheetView>
  </sheetViews>
  <sheetFormatPr defaultRowHeight="14.4" x14ac:dyDescent="0.25"/>
  <sheetData>
    <row r="1" spans="1:15" ht="16.8" x14ac:dyDescent="0.25">
      <c r="A1" s="4" t="s">
        <v>26</v>
      </c>
      <c r="B1" s="4"/>
      <c r="C1" s="6">
        <v>0</v>
      </c>
      <c r="D1" s="6">
        <v>0.113</v>
      </c>
      <c r="E1" s="6">
        <v>0.15</v>
      </c>
      <c r="F1" s="6">
        <v>0.2</v>
      </c>
      <c r="G1" s="6">
        <v>0.25</v>
      </c>
      <c r="H1" s="6">
        <v>0.3</v>
      </c>
      <c r="I1" s="6">
        <v>0.35</v>
      </c>
      <c r="J1" s="6">
        <v>0.4</v>
      </c>
    </row>
    <row r="2" spans="1:15" ht="24.6" customHeight="1" x14ac:dyDescent="0.25">
      <c r="A2" s="2" t="s">
        <v>33</v>
      </c>
      <c r="B2" s="5" t="s">
        <v>10</v>
      </c>
      <c r="C2" s="6">
        <v>0</v>
      </c>
      <c r="D2" s="6">
        <v>6.2396581102920408E-2</v>
      </c>
      <c r="E2" s="6">
        <v>8.3266639978645307E-2</v>
      </c>
      <c r="F2" s="6">
        <v>0.11331372379372233</v>
      </c>
      <c r="G2" s="6">
        <v>0.14329456840136451</v>
      </c>
      <c r="H2" s="6">
        <v>0.17088007490635063</v>
      </c>
      <c r="I2" s="6">
        <v>0.19561867668161612</v>
      </c>
      <c r="J2" s="6">
        <v>0.22030282189144407</v>
      </c>
      <c r="M2" s="5"/>
      <c r="N2" s="5"/>
      <c r="O2" s="5"/>
    </row>
    <row r="3" spans="1:15" ht="24.6" customHeight="1" x14ac:dyDescent="0.25">
      <c r="A3" s="2"/>
      <c r="B3" s="5" t="s">
        <v>12</v>
      </c>
      <c r="C3" s="6">
        <v>5.4650404085117413E-2</v>
      </c>
      <c r="D3" s="6">
        <v>0.16844385810510645</v>
      </c>
      <c r="E3" s="6">
        <v>0.21908902300206645</v>
      </c>
      <c r="F3" s="6">
        <v>0.32</v>
      </c>
      <c r="G3" s="6">
        <v>0.42833009077890694</v>
      </c>
      <c r="H3" s="6">
        <v>0.52459508194416005</v>
      </c>
      <c r="I3" s="6">
        <v>0.59509102945123726</v>
      </c>
      <c r="J3" s="6">
        <v>0.66211781428987393</v>
      </c>
      <c r="M3" s="6"/>
      <c r="N3" s="6"/>
      <c r="O3" s="6"/>
    </row>
    <row r="4" spans="1:15" ht="24.6" customHeight="1" x14ac:dyDescent="0.25">
      <c r="A4" s="2"/>
      <c r="B4" s="5" t="s">
        <v>14</v>
      </c>
      <c r="C4" s="6">
        <v>1.3662601021279353E-2</v>
      </c>
      <c r="D4" s="6">
        <v>4.2110964526276613E-2</v>
      </c>
      <c r="E4" s="6">
        <v>5.4772255750516613E-2</v>
      </c>
      <c r="F4" s="6">
        <v>0.08</v>
      </c>
      <c r="G4" s="6">
        <v>0.10708252269472673</v>
      </c>
      <c r="H4" s="6">
        <v>0.13114877048604001</v>
      </c>
      <c r="I4" s="6">
        <v>0.14877275736280932</v>
      </c>
      <c r="J4" s="6">
        <v>0.16552945357246848</v>
      </c>
      <c r="M4" s="6"/>
      <c r="N4" s="6"/>
      <c r="O4" s="6"/>
    </row>
    <row r="5" spans="1:15" x14ac:dyDescent="0.25">
      <c r="M5" s="6"/>
      <c r="N5" s="6"/>
      <c r="O5" s="6"/>
    </row>
    <row r="6" spans="1:15" x14ac:dyDescent="0.25">
      <c r="M6" s="6"/>
      <c r="N6" s="6"/>
      <c r="O6" s="6"/>
    </row>
    <row r="7" spans="1:15" x14ac:dyDescent="0.25">
      <c r="M7" s="6"/>
      <c r="N7" s="6"/>
      <c r="O7" s="6"/>
    </row>
    <row r="8" spans="1:15" x14ac:dyDescent="0.25">
      <c r="M8" s="6"/>
      <c r="N8" s="6"/>
      <c r="O8" s="6"/>
    </row>
    <row r="9" spans="1:15" x14ac:dyDescent="0.25">
      <c r="M9" s="6"/>
      <c r="N9" s="6"/>
      <c r="O9" s="6"/>
    </row>
    <row r="10" spans="1:15" x14ac:dyDescent="0.25">
      <c r="M10" s="6"/>
      <c r="N10" s="6"/>
      <c r="O10" s="6"/>
    </row>
  </sheetData>
  <mergeCells count="2">
    <mergeCell ref="A2:A4"/>
    <mergeCell ref="A1:B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E155-A3D8-4105-9D36-2FF4550B3338}">
  <dimension ref="A1:J4"/>
  <sheetViews>
    <sheetView zoomScale="145" zoomScaleNormal="145" workbookViewId="0">
      <selection activeCell="D16" sqref="D16"/>
    </sheetView>
  </sheetViews>
  <sheetFormatPr defaultRowHeight="14.4" x14ac:dyDescent="0.25"/>
  <sheetData>
    <row r="1" spans="1:10" x14ac:dyDescent="0.25">
      <c r="A1" s="4" t="s">
        <v>0</v>
      </c>
      <c r="B1" s="4"/>
      <c r="C1" s="5">
        <v>0</v>
      </c>
      <c r="D1" s="5">
        <v>0.113</v>
      </c>
      <c r="E1" s="5">
        <v>0.15</v>
      </c>
      <c r="F1" s="5">
        <v>0.2</v>
      </c>
      <c r="G1" s="5">
        <v>0.25</v>
      </c>
      <c r="H1" s="5">
        <v>0.3</v>
      </c>
      <c r="I1" s="5">
        <v>0.35</v>
      </c>
      <c r="J1" s="5">
        <v>0.4</v>
      </c>
    </row>
    <row r="2" spans="1:10" ht="24" customHeight="1" x14ac:dyDescent="0.25">
      <c r="A2" s="2" t="s">
        <v>28</v>
      </c>
      <c r="B2" s="5" t="s">
        <v>30</v>
      </c>
      <c r="C2" s="5">
        <v>0.79999999999995453</v>
      </c>
      <c r="D2" s="5">
        <v>2.2999999999999545</v>
      </c>
      <c r="E2" s="5">
        <v>1.5</v>
      </c>
      <c r="F2" s="5">
        <v>4</v>
      </c>
      <c r="G2" s="5">
        <v>5</v>
      </c>
      <c r="H2" s="5">
        <v>6.5</v>
      </c>
      <c r="I2" s="5">
        <v>8</v>
      </c>
      <c r="J2" s="5">
        <v>11</v>
      </c>
    </row>
    <row r="3" spans="1:10" ht="24" customHeight="1" x14ac:dyDescent="0.25">
      <c r="A3" s="2"/>
      <c r="B3" s="5" t="s">
        <v>31</v>
      </c>
      <c r="C3" s="5">
        <v>-0.79999999999995453</v>
      </c>
      <c r="D3" s="5">
        <v>1.4000000000000909</v>
      </c>
      <c r="E3" s="5">
        <v>2.5</v>
      </c>
      <c r="F3" s="5">
        <v>6.2000000000000455</v>
      </c>
      <c r="G3" s="5">
        <v>9.5</v>
      </c>
      <c r="H3" s="5">
        <v>14.5</v>
      </c>
      <c r="I3" s="5">
        <v>19.5</v>
      </c>
      <c r="J3" s="5">
        <v>25</v>
      </c>
    </row>
    <row r="4" spans="1:10" ht="24" customHeight="1" x14ac:dyDescent="0.25">
      <c r="A4" s="2"/>
      <c r="B4" s="5" t="s">
        <v>32</v>
      </c>
      <c r="C4" s="5">
        <v>0.79999999999995453</v>
      </c>
      <c r="D4" s="5">
        <v>1.2999999999999545</v>
      </c>
      <c r="E4" s="5">
        <v>3</v>
      </c>
      <c r="F4" s="5">
        <v>4.2999999999999545</v>
      </c>
      <c r="G4" s="5">
        <v>6.5</v>
      </c>
      <c r="H4" s="5">
        <v>8.5</v>
      </c>
      <c r="I4" s="5">
        <v>11.299999999999955</v>
      </c>
      <c r="J4" s="5">
        <v>14.5</v>
      </c>
    </row>
  </sheetData>
  <mergeCells count="2">
    <mergeCell ref="A2:A4"/>
    <mergeCell ref="A1:B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D706-2254-4512-81EE-E242D00F1288}">
  <dimension ref="A1:J9"/>
  <sheetViews>
    <sheetView workbookViewId="0">
      <selection activeCell="F27" sqref="F27"/>
    </sheetView>
  </sheetViews>
  <sheetFormatPr defaultRowHeight="14.4" x14ac:dyDescent="0.25"/>
  <sheetData>
    <row r="1" spans="1:10" x14ac:dyDescent="0.25">
      <c r="A1" s="4" t="s">
        <v>0</v>
      </c>
      <c r="B1" s="4"/>
      <c r="C1" s="5">
        <v>0</v>
      </c>
      <c r="D1" s="5">
        <v>0.113</v>
      </c>
      <c r="E1" s="5">
        <v>0.15</v>
      </c>
      <c r="F1" s="5">
        <v>0.2</v>
      </c>
      <c r="G1" s="5">
        <v>0.25</v>
      </c>
      <c r="H1" s="5">
        <v>0.3</v>
      </c>
      <c r="I1" s="5">
        <v>0.35</v>
      </c>
      <c r="J1" s="5">
        <v>0.4</v>
      </c>
    </row>
    <row r="2" spans="1:10" ht="14.4" customHeight="1" x14ac:dyDescent="0.25">
      <c r="A2" s="2" t="s">
        <v>20</v>
      </c>
      <c r="B2" s="5" t="s">
        <v>2</v>
      </c>
      <c r="C2" s="5">
        <v>-0.20000000000004547</v>
      </c>
      <c r="D2" s="5">
        <v>0.5</v>
      </c>
      <c r="E2" s="5">
        <v>0.5</v>
      </c>
      <c r="F2" s="5">
        <v>3</v>
      </c>
      <c r="G2" s="5">
        <v>4</v>
      </c>
      <c r="H2" s="5">
        <v>5.7000000000000455</v>
      </c>
      <c r="I2" s="5">
        <v>8</v>
      </c>
      <c r="J2" s="5">
        <v>11</v>
      </c>
    </row>
    <row r="3" spans="1:10" x14ac:dyDescent="0.25">
      <c r="A3" s="2"/>
      <c r="B3" s="5" t="s">
        <v>4</v>
      </c>
      <c r="C3" s="5">
        <v>-1</v>
      </c>
      <c r="D3" s="5">
        <v>0.70000000000004547</v>
      </c>
      <c r="E3" s="5">
        <v>2</v>
      </c>
      <c r="F3" s="5">
        <v>5</v>
      </c>
      <c r="G3" s="5">
        <v>9</v>
      </c>
      <c r="H3" s="5">
        <v>14</v>
      </c>
      <c r="I3" s="5">
        <v>20</v>
      </c>
      <c r="J3" s="5">
        <v>26</v>
      </c>
    </row>
    <row r="4" spans="1:10" x14ac:dyDescent="0.25">
      <c r="A4" s="2"/>
      <c r="B4" s="5" t="s">
        <v>6</v>
      </c>
      <c r="C4" s="5">
        <v>-0.10000000000002274</v>
      </c>
      <c r="D4" s="5">
        <v>2.0999999999999091</v>
      </c>
      <c r="E4" s="5">
        <v>4.75</v>
      </c>
      <c r="F4" s="5">
        <v>6.3999999999999773</v>
      </c>
      <c r="G4" s="5">
        <v>11</v>
      </c>
      <c r="H4" s="5">
        <v>15.25</v>
      </c>
      <c r="I4" s="5">
        <v>21.5</v>
      </c>
      <c r="J4" s="5">
        <v>27.100000000000023</v>
      </c>
    </row>
    <row r="5" spans="1:10" x14ac:dyDescent="0.25">
      <c r="A5" s="2"/>
      <c r="B5" s="5" t="s">
        <v>8</v>
      </c>
      <c r="C5" s="5">
        <v>-1</v>
      </c>
      <c r="D5" s="5">
        <v>2</v>
      </c>
      <c r="E5" s="5">
        <v>4.5</v>
      </c>
      <c r="F5" s="5">
        <v>7.1000000000000227</v>
      </c>
      <c r="G5" s="5">
        <v>11.5</v>
      </c>
      <c r="H5" s="5">
        <v>16.5</v>
      </c>
      <c r="I5" s="5">
        <v>23.200000000000045</v>
      </c>
      <c r="J5" s="5">
        <v>30.549999999999955</v>
      </c>
    </row>
    <row r="6" spans="1:10" ht="14.4" customHeight="1" x14ac:dyDescent="0.25">
      <c r="A6" s="2" t="s">
        <v>22</v>
      </c>
      <c r="B6" s="5" t="s">
        <v>2</v>
      </c>
      <c r="C6" s="5">
        <v>560</v>
      </c>
      <c r="D6" s="5">
        <v>568</v>
      </c>
      <c r="E6" s="5">
        <v>573</v>
      </c>
      <c r="F6" s="5">
        <v>583</v>
      </c>
      <c r="G6" s="5">
        <v>595</v>
      </c>
      <c r="H6" s="5">
        <v>609.79999999999995</v>
      </c>
      <c r="I6" s="5">
        <v>626</v>
      </c>
      <c r="J6" s="5">
        <v>645</v>
      </c>
    </row>
    <row r="7" spans="1:10" x14ac:dyDescent="0.25">
      <c r="A7" s="2"/>
      <c r="B7" s="5" t="s">
        <v>4</v>
      </c>
      <c r="C7" s="5">
        <v>560</v>
      </c>
      <c r="D7" s="5">
        <v>565.5</v>
      </c>
      <c r="E7" s="5">
        <v>570</v>
      </c>
      <c r="F7" s="5">
        <v>577</v>
      </c>
      <c r="G7" s="5">
        <v>585</v>
      </c>
      <c r="H7" s="5">
        <v>595</v>
      </c>
      <c r="I7" s="5">
        <v>606</v>
      </c>
      <c r="J7" s="5">
        <v>619</v>
      </c>
    </row>
    <row r="8" spans="1:10" x14ac:dyDescent="0.25">
      <c r="A8" s="2"/>
      <c r="B8" s="5" t="s">
        <v>6</v>
      </c>
      <c r="C8" s="5">
        <v>559.9</v>
      </c>
      <c r="D8" s="5">
        <v>562.70000000000005</v>
      </c>
      <c r="E8" s="5">
        <v>564.75</v>
      </c>
      <c r="F8" s="5">
        <v>569.4</v>
      </c>
      <c r="G8" s="5">
        <v>573.5</v>
      </c>
      <c r="H8" s="5">
        <v>579.25</v>
      </c>
      <c r="I8" s="5">
        <v>585</v>
      </c>
      <c r="J8" s="5">
        <v>592.9</v>
      </c>
    </row>
    <row r="9" spans="1:10" x14ac:dyDescent="0.25">
      <c r="A9" s="2"/>
      <c r="B9" s="5" t="s">
        <v>8</v>
      </c>
      <c r="C9" s="5">
        <v>560</v>
      </c>
      <c r="D9" s="5">
        <v>561.5</v>
      </c>
      <c r="E9" s="5">
        <v>562</v>
      </c>
      <c r="F9" s="5">
        <v>564.4</v>
      </c>
      <c r="G9" s="5">
        <v>566.5</v>
      </c>
      <c r="H9" s="5">
        <v>569.5</v>
      </c>
      <c r="I9" s="5">
        <v>572</v>
      </c>
      <c r="J9" s="5">
        <v>574.95000000000005</v>
      </c>
    </row>
  </sheetData>
  <mergeCells count="3">
    <mergeCell ref="A1:B1"/>
    <mergeCell ref="A2:A5"/>
    <mergeCell ref="A6:A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zoomScale="130" zoomScaleNormal="130" workbookViewId="0">
      <selection activeCell="D21" sqref="D21"/>
    </sheetView>
  </sheetViews>
  <sheetFormatPr defaultRowHeight="14.4" x14ac:dyDescent="0.25"/>
  <sheetData>
    <row r="1" spans="1:11" ht="16.8" x14ac:dyDescent="0.25">
      <c r="A1" s="4" t="s">
        <v>26</v>
      </c>
      <c r="B1" s="4"/>
      <c r="C1" s="5">
        <v>0</v>
      </c>
      <c r="D1" s="5">
        <v>0.113</v>
      </c>
      <c r="E1" s="5">
        <v>0.15</v>
      </c>
      <c r="F1" s="5">
        <v>0.2</v>
      </c>
      <c r="G1" s="5">
        <v>0.25</v>
      </c>
      <c r="H1" s="5">
        <v>0.3</v>
      </c>
      <c r="I1" s="5">
        <v>0.35</v>
      </c>
      <c r="J1" s="5">
        <v>0.4</v>
      </c>
      <c r="K1" s="5">
        <v>0.45</v>
      </c>
    </row>
    <row r="2" spans="1:11" ht="14.4" customHeight="1" x14ac:dyDescent="0.25">
      <c r="A2" s="2" t="s">
        <v>27</v>
      </c>
      <c r="B2" s="5">
        <v>1</v>
      </c>
      <c r="C2" s="5">
        <v>560</v>
      </c>
      <c r="D2" s="5">
        <v>568</v>
      </c>
      <c r="E2" s="5">
        <v>573</v>
      </c>
      <c r="F2" s="5">
        <v>583</v>
      </c>
      <c r="G2" s="5">
        <v>595</v>
      </c>
      <c r="H2" s="5">
        <v>609.79999999999995</v>
      </c>
      <c r="I2" s="5">
        <v>626</v>
      </c>
      <c r="J2" s="5">
        <v>645</v>
      </c>
      <c r="K2" s="5">
        <v>658.5</v>
      </c>
    </row>
    <row r="3" spans="1:11" x14ac:dyDescent="0.25">
      <c r="A3" s="2"/>
      <c r="B3" s="5">
        <v>2</v>
      </c>
      <c r="C3" s="5">
        <v>559.79999999999995</v>
      </c>
      <c r="D3" s="5">
        <v>568.5</v>
      </c>
      <c r="E3" s="5">
        <v>573.5</v>
      </c>
      <c r="F3" s="5">
        <v>586</v>
      </c>
      <c r="G3" s="5">
        <v>599</v>
      </c>
      <c r="H3" s="5">
        <v>615.5</v>
      </c>
      <c r="I3" s="5">
        <v>634</v>
      </c>
      <c r="J3" s="5">
        <v>656</v>
      </c>
      <c r="K3" s="5">
        <v>672</v>
      </c>
    </row>
    <row r="4" spans="1:11" x14ac:dyDescent="0.25">
      <c r="A4" s="2"/>
      <c r="B4" s="5">
        <v>3</v>
      </c>
      <c r="C4" s="5">
        <v>560</v>
      </c>
      <c r="D4" s="5">
        <v>565.5</v>
      </c>
      <c r="E4" s="5">
        <v>570</v>
      </c>
      <c r="F4" s="5">
        <v>577</v>
      </c>
      <c r="G4" s="5">
        <v>585</v>
      </c>
      <c r="H4" s="5">
        <v>595</v>
      </c>
      <c r="I4" s="5">
        <v>606</v>
      </c>
      <c r="J4" s="5">
        <v>619</v>
      </c>
      <c r="K4" s="5">
        <v>625.5</v>
      </c>
    </row>
    <row r="5" spans="1:11" x14ac:dyDescent="0.25">
      <c r="A5" s="2"/>
      <c r="B5" s="5">
        <v>4</v>
      </c>
      <c r="C5" s="5">
        <v>559</v>
      </c>
      <c r="D5" s="5">
        <v>566.20000000000005</v>
      </c>
      <c r="E5" s="5">
        <v>572</v>
      </c>
      <c r="F5" s="5">
        <v>582</v>
      </c>
      <c r="G5" s="5">
        <v>594</v>
      </c>
      <c r="H5" s="5">
        <v>609</v>
      </c>
      <c r="I5" s="5">
        <v>626</v>
      </c>
      <c r="J5" s="5">
        <v>645</v>
      </c>
      <c r="K5" s="5">
        <v>659.5</v>
      </c>
    </row>
    <row r="6" spans="1:11" x14ac:dyDescent="0.25">
      <c r="A6" s="2"/>
      <c r="B6" s="5">
        <v>5</v>
      </c>
      <c r="C6" s="5">
        <v>560</v>
      </c>
      <c r="D6" s="5">
        <v>562.9</v>
      </c>
      <c r="E6" s="5">
        <v>565</v>
      </c>
      <c r="F6" s="5">
        <v>570</v>
      </c>
      <c r="G6" s="5">
        <v>574</v>
      </c>
      <c r="H6" s="5">
        <v>580</v>
      </c>
      <c r="I6" s="5">
        <v>586</v>
      </c>
      <c r="J6" s="5">
        <v>593.79999999999995</v>
      </c>
      <c r="K6" s="5">
        <v>594</v>
      </c>
    </row>
    <row r="7" spans="1:11" x14ac:dyDescent="0.25">
      <c r="A7" s="2"/>
      <c r="B7" s="5">
        <v>6</v>
      </c>
      <c r="C7" s="5">
        <v>559.79999999999995</v>
      </c>
      <c r="D7" s="5">
        <v>562.5</v>
      </c>
      <c r="E7" s="5">
        <v>564.5</v>
      </c>
      <c r="F7" s="5">
        <v>568.79999999999995</v>
      </c>
      <c r="G7" s="5">
        <v>573</v>
      </c>
      <c r="H7" s="5">
        <v>578.5</v>
      </c>
      <c r="I7" s="5">
        <v>584</v>
      </c>
      <c r="J7" s="5">
        <v>592</v>
      </c>
      <c r="K7" s="5">
        <v>593</v>
      </c>
    </row>
    <row r="8" spans="1:11" x14ac:dyDescent="0.25">
      <c r="A8" s="2"/>
      <c r="B8" s="5">
        <v>7</v>
      </c>
      <c r="C8" s="5">
        <v>559.79999999999995</v>
      </c>
      <c r="D8" s="5">
        <v>564.79999999999995</v>
      </c>
      <c r="E8" s="5">
        <v>569.5</v>
      </c>
      <c r="F8" s="5">
        <v>575.79999999999995</v>
      </c>
      <c r="G8" s="5">
        <v>584.5</v>
      </c>
      <c r="H8" s="5">
        <v>594.5</v>
      </c>
      <c r="I8" s="5">
        <v>606.5</v>
      </c>
      <c r="J8" s="5">
        <v>620</v>
      </c>
      <c r="K8" s="5">
        <v>627</v>
      </c>
    </row>
    <row r="9" spans="1:11" x14ac:dyDescent="0.25">
      <c r="A9" s="2"/>
      <c r="B9" s="5">
        <v>8</v>
      </c>
      <c r="C9" s="5">
        <v>560</v>
      </c>
      <c r="D9" s="5">
        <v>561.5</v>
      </c>
      <c r="E9" s="5">
        <v>562.5</v>
      </c>
      <c r="F9" s="5">
        <v>565</v>
      </c>
      <c r="G9" s="5">
        <v>567.5</v>
      </c>
      <c r="H9" s="5">
        <v>570.5</v>
      </c>
      <c r="I9" s="5">
        <v>574</v>
      </c>
      <c r="J9" s="5">
        <v>577.20000000000005</v>
      </c>
      <c r="K9" s="5">
        <v>576</v>
      </c>
    </row>
    <row r="10" spans="1:11" x14ac:dyDescent="0.25">
      <c r="A10" s="2"/>
      <c r="B10" s="5">
        <v>9</v>
      </c>
      <c r="C10" s="5">
        <v>560</v>
      </c>
      <c r="D10" s="5">
        <v>561.5</v>
      </c>
      <c r="E10" s="5">
        <v>561.5</v>
      </c>
      <c r="F10" s="5">
        <v>563.79999999999995</v>
      </c>
      <c r="G10" s="5">
        <v>565.5</v>
      </c>
      <c r="H10" s="5">
        <v>568.5</v>
      </c>
      <c r="I10" s="5">
        <v>570</v>
      </c>
      <c r="J10" s="5">
        <v>572.70000000000005</v>
      </c>
      <c r="K10" s="5">
        <v>571</v>
      </c>
    </row>
    <row r="11" spans="1:11" x14ac:dyDescent="0.25">
      <c r="A11" s="2"/>
      <c r="B11" s="5">
        <v>10</v>
      </c>
      <c r="C11" s="5">
        <v>559</v>
      </c>
      <c r="D11" s="5">
        <v>563.5</v>
      </c>
      <c r="E11" s="5">
        <v>566.5</v>
      </c>
      <c r="F11" s="5">
        <v>571.5</v>
      </c>
      <c r="G11" s="5">
        <v>578</v>
      </c>
      <c r="H11" s="5">
        <v>586</v>
      </c>
      <c r="I11" s="5">
        <v>595.20000000000005</v>
      </c>
      <c r="J11" s="5">
        <v>605.5</v>
      </c>
      <c r="K11" s="5">
        <v>609.5</v>
      </c>
    </row>
    <row r="12" spans="1:11" x14ac:dyDescent="0.25">
      <c r="A12" s="2"/>
      <c r="B12" s="5">
        <v>11</v>
      </c>
      <c r="C12" s="5">
        <v>598</v>
      </c>
      <c r="D12" s="5">
        <v>556.9</v>
      </c>
      <c r="E12" s="5">
        <v>556</v>
      </c>
      <c r="F12" s="5">
        <v>556.79999999999995</v>
      </c>
      <c r="G12" s="5">
        <v>557</v>
      </c>
      <c r="H12" s="5">
        <v>555</v>
      </c>
      <c r="I12" s="5">
        <v>552</v>
      </c>
      <c r="J12" s="5">
        <v>549</v>
      </c>
      <c r="K12" s="5">
        <v>538.5</v>
      </c>
    </row>
    <row r="13" spans="1:11" x14ac:dyDescent="0.25">
      <c r="A13" s="2"/>
      <c r="B13" s="5">
        <v>12</v>
      </c>
      <c r="C13" s="5">
        <v>598.6</v>
      </c>
      <c r="D13" s="5">
        <v>527.70000000000005</v>
      </c>
      <c r="E13" s="5">
        <v>504</v>
      </c>
      <c r="F13" s="5">
        <v>460.5</v>
      </c>
      <c r="G13" s="5">
        <v>403</v>
      </c>
      <c r="H13" s="5">
        <v>336</v>
      </c>
      <c r="I13" s="5">
        <v>265</v>
      </c>
      <c r="J13" s="5">
        <v>185</v>
      </c>
      <c r="K13" s="5"/>
    </row>
    <row r="14" spans="1:11" x14ac:dyDescent="0.25">
      <c r="A14" s="2"/>
      <c r="B14" s="5">
        <v>13</v>
      </c>
      <c r="C14" s="5">
        <v>560</v>
      </c>
      <c r="D14" s="5">
        <v>541</v>
      </c>
      <c r="E14" s="5">
        <v>526.5</v>
      </c>
      <c r="F14" s="5">
        <v>508.5</v>
      </c>
      <c r="G14" s="5">
        <v>489</v>
      </c>
      <c r="H14" s="5">
        <v>465</v>
      </c>
      <c r="I14" s="5">
        <v>431</v>
      </c>
      <c r="J14" s="5">
        <v>390.5</v>
      </c>
      <c r="K14" s="5">
        <v>335</v>
      </c>
    </row>
    <row r="15" spans="1:11" x14ac:dyDescent="0.25">
      <c r="A15" s="3"/>
    </row>
  </sheetData>
  <mergeCells count="2">
    <mergeCell ref="A1:B1"/>
    <mergeCell ref="A2:A1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D26E-8379-4A1D-9C42-152DC2F57DB4}">
  <dimension ref="A1:J20"/>
  <sheetViews>
    <sheetView zoomScaleNormal="100" workbookViewId="0">
      <selection activeCell="M21" sqref="M21"/>
    </sheetView>
  </sheetViews>
  <sheetFormatPr defaultRowHeight="14.4" x14ac:dyDescent="0.25"/>
  <cols>
    <col min="3" max="3" width="9.5546875" bestFit="1" customWidth="1"/>
    <col min="4" max="4" width="11.6640625" bestFit="1" customWidth="1"/>
    <col min="5" max="10" width="9.5546875" bestFit="1" customWidth="1"/>
  </cols>
  <sheetData>
    <row r="1" spans="1:10" x14ac:dyDescent="0.25">
      <c r="A1" s="4" t="s">
        <v>0</v>
      </c>
      <c r="B1" s="4"/>
      <c r="C1" s="6">
        <v>0</v>
      </c>
      <c r="D1" s="6">
        <v>0.113</v>
      </c>
      <c r="E1" s="6">
        <v>0.15</v>
      </c>
      <c r="F1" s="6">
        <v>0.2</v>
      </c>
      <c r="G1" s="6">
        <v>0.25</v>
      </c>
      <c r="H1" s="6">
        <v>0.3</v>
      </c>
      <c r="I1" s="6">
        <v>0.35</v>
      </c>
      <c r="J1" s="6">
        <v>0.4</v>
      </c>
    </row>
    <row r="2" spans="1:10" x14ac:dyDescent="0.25">
      <c r="A2" s="2" t="s">
        <v>18</v>
      </c>
      <c r="B2" s="5" t="s">
        <v>2</v>
      </c>
      <c r="C2" s="6">
        <v>0</v>
      </c>
      <c r="D2" s="6">
        <v>9.8994949366116664E-2</v>
      </c>
      <c r="E2" s="6">
        <v>9.8994949366116664E-2</v>
      </c>
      <c r="F2" s="6">
        <v>0.24248711305964282</v>
      </c>
      <c r="G2" s="6">
        <v>0.28000000000000003</v>
      </c>
      <c r="H2" s="6">
        <v>0.33424541881677439</v>
      </c>
      <c r="I2" s="6">
        <v>0.39597979746446665</v>
      </c>
      <c r="J2" s="6">
        <v>0.46432747064975599</v>
      </c>
    </row>
    <row r="3" spans="1:10" x14ac:dyDescent="0.25">
      <c r="A3" s="2"/>
      <c r="B3" s="5" t="s">
        <v>4</v>
      </c>
      <c r="C3" s="6">
        <v>0</v>
      </c>
      <c r="D3" s="6">
        <v>0.11713240371477439</v>
      </c>
      <c r="E3" s="6">
        <v>0.19798989873223333</v>
      </c>
      <c r="F3" s="6">
        <v>0.31304951684997057</v>
      </c>
      <c r="G3" s="6">
        <v>0.42</v>
      </c>
      <c r="H3" s="6">
        <v>0.52383203414835178</v>
      </c>
      <c r="I3" s="6">
        <v>0.62609903369994113</v>
      </c>
      <c r="J3" s="6">
        <v>0.71386273190298988</v>
      </c>
    </row>
    <row r="4" spans="1:10" x14ac:dyDescent="0.25">
      <c r="A4" s="2"/>
      <c r="B4" s="5" t="s">
        <v>6</v>
      </c>
      <c r="C4" s="6">
        <v>0</v>
      </c>
      <c r="D4" s="6">
        <v>0.20287927444664774</v>
      </c>
      <c r="E4" s="6">
        <v>0.30512292604784719</v>
      </c>
      <c r="F4" s="6">
        <v>0.35417509793885787</v>
      </c>
      <c r="G4" s="6">
        <v>0.46432747064975599</v>
      </c>
      <c r="H4" s="6">
        <v>0.54671747731346587</v>
      </c>
      <c r="I4" s="6">
        <v>0.64915329468469929</v>
      </c>
      <c r="J4" s="6">
        <v>0.72880724474994107</v>
      </c>
    </row>
    <row r="5" spans="1:10" ht="32.4" customHeight="1" x14ac:dyDescent="0.25">
      <c r="A5" s="2"/>
      <c r="B5" s="5" t="s">
        <v>8</v>
      </c>
      <c r="C5" s="6">
        <v>0</v>
      </c>
      <c r="D5" s="6">
        <v>0.19798989873223333</v>
      </c>
      <c r="E5" s="6">
        <v>0.29698484809834996</v>
      </c>
      <c r="F5" s="6">
        <v>0.373041552645279</v>
      </c>
      <c r="G5" s="6">
        <v>0.47476309881876877</v>
      </c>
      <c r="H5" s="6">
        <v>0.56868268832451729</v>
      </c>
      <c r="I5" s="6">
        <v>0.67432929641236927</v>
      </c>
      <c r="J5" s="6">
        <v>0.7738087619043863</v>
      </c>
    </row>
    <row r="6" spans="1:10" x14ac:dyDescent="0.25">
      <c r="A6" s="2" t="s">
        <v>16</v>
      </c>
      <c r="B6" s="5" t="s">
        <v>2</v>
      </c>
      <c r="C6" s="6">
        <v>0</v>
      </c>
      <c r="D6" s="6">
        <v>9.9913938200926769E-2</v>
      </c>
      <c r="E6" s="6">
        <v>0.13262912150565501</v>
      </c>
      <c r="F6" s="6">
        <v>0.17683882867420667</v>
      </c>
      <c r="G6" s="6">
        <v>0.22104853584275835</v>
      </c>
      <c r="H6" s="6">
        <v>0.26525824301131001</v>
      </c>
      <c r="I6" s="6">
        <v>0.30946795017986162</v>
      </c>
      <c r="J6" s="6">
        <v>0.35367765734841333</v>
      </c>
    </row>
    <row r="7" spans="1:10" x14ac:dyDescent="0.25">
      <c r="A7" s="2"/>
      <c r="B7" s="5" t="s">
        <v>4</v>
      </c>
      <c r="C7" s="6">
        <v>0</v>
      </c>
      <c r="D7" s="6">
        <v>0.17762477902386983</v>
      </c>
      <c r="E7" s="6">
        <v>0.23578510489894228</v>
      </c>
      <c r="F7" s="6">
        <v>0.31438013986525637</v>
      </c>
      <c r="G7" s="6">
        <v>0.39297517483157041</v>
      </c>
      <c r="H7" s="6">
        <v>0.47157020979788455</v>
      </c>
      <c r="I7" s="6">
        <v>0.55016524476419859</v>
      </c>
      <c r="J7" s="6">
        <v>0.62876027973051274</v>
      </c>
    </row>
    <row r="8" spans="1:10" x14ac:dyDescent="0.25">
      <c r="A8" s="2"/>
      <c r="B8" s="5" t="s">
        <v>6</v>
      </c>
      <c r="C8" s="6">
        <v>0</v>
      </c>
      <c r="D8" s="6">
        <v>0.17762477902386983</v>
      </c>
      <c r="E8" s="6">
        <v>0.23578510489894228</v>
      </c>
      <c r="F8" s="6">
        <v>0.31438013986525637</v>
      </c>
      <c r="G8" s="6">
        <v>0.39297517483157041</v>
      </c>
      <c r="H8" s="6">
        <v>0.47157020979788455</v>
      </c>
      <c r="I8" s="6">
        <v>0.55016524476419859</v>
      </c>
      <c r="J8" s="6">
        <v>0.62876027973051274</v>
      </c>
    </row>
    <row r="9" spans="1:10" ht="29.4" customHeight="1" x14ac:dyDescent="0.25">
      <c r="A9" s="2"/>
      <c r="B9" s="5" t="s">
        <v>8</v>
      </c>
      <c r="C9" s="6">
        <v>0</v>
      </c>
      <c r="D9" s="6">
        <v>0.17762477902386983</v>
      </c>
      <c r="E9" s="6">
        <v>0.23578510489894228</v>
      </c>
      <c r="F9" s="6">
        <v>0.31438013986525637</v>
      </c>
      <c r="G9" s="6">
        <v>0.39297517483157041</v>
      </c>
      <c r="H9" s="6">
        <v>0.47157020979788455</v>
      </c>
      <c r="I9" s="6">
        <v>0.55016524476419859</v>
      </c>
      <c r="J9" s="6">
        <v>0.62876027973051274</v>
      </c>
    </row>
    <row r="12" spans="1:10" x14ac:dyDescent="0.25">
      <c r="A12" s="4" t="s">
        <v>0</v>
      </c>
      <c r="B12" s="4"/>
      <c r="C12" s="6">
        <v>0</v>
      </c>
      <c r="D12" s="6">
        <v>0.113</v>
      </c>
      <c r="E12" s="6">
        <v>0.15</v>
      </c>
      <c r="F12" s="6">
        <v>0.2</v>
      </c>
      <c r="G12" s="6">
        <v>0.25</v>
      </c>
      <c r="H12" s="6">
        <v>0.3</v>
      </c>
      <c r="I12" s="6">
        <v>0.35</v>
      </c>
      <c r="J12" s="6">
        <v>0.4</v>
      </c>
    </row>
    <row r="13" spans="1:10" x14ac:dyDescent="0.25">
      <c r="A13" s="2" t="s">
        <v>34</v>
      </c>
      <c r="B13" s="5" t="s">
        <v>2</v>
      </c>
      <c r="C13">
        <f>C2*(3.1415926*(0.02^2)/4)</f>
        <v>0</v>
      </c>
      <c r="D13">
        <f t="shared" ref="D13:J13" si="0">D2*(3.1415926*(0.02^2)/4)</f>
        <v>3.1100180036596685E-5</v>
      </c>
      <c r="E13">
        <f t="shared" si="0"/>
        <v>3.1100180036596685E-5</v>
      </c>
      <c r="F13">
        <f t="shared" si="0"/>
        <v>7.6179571998353742E-5</v>
      </c>
      <c r="G13">
        <f t="shared" si="0"/>
        <v>8.7964592800000019E-5</v>
      </c>
      <c r="H13">
        <f t="shared" si="0"/>
        <v>1.0500629343386793E-4</v>
      </c>
      <c r="I13">
        <f t="shared" si="0"/>
        <v>1.2440072014638674E-4</v>
      </c>
      <c r="J13">
        <f t="shared" si="0"/>
        <v>1.4587277457699907E-4</v>
      </c>
    </row>
    <row r="14" spans="1:10" x14ac:dyDescent="0.25">
      <c r="A14" s="2"/>
      <c r="B14" s="5" t="s">
        <v>4</v>
      </c>
      <c r="C14">
        <f t="shared" ref="C14:J14" si="1">C3*(3.1415926*0.02^2/4)</f>
        <v>0</v>
      </c>
      <c r="D14">
        <f>D3*(3.1415926*0.015^2/4)</f>
        <v>2.0699003966093309E-5</v>
      </c>
      <c r="E14">
        <f>E3*(3.1415926*0.015^2/4)</f>
        <v>3.4987702541171264E-5</v>
      </c>
      <c r="F14">
        <f t="shared" ref="E14:J14" si="2">F3*(3.1415926*0.015^2/4)</f>
        <v>5.5320415063281155E-5</v>
      </c>
      <c r="G14">
        <f t="shared" si="2"/>
        <v>7.4220125174999995E-5</v>
      </c>
      <c r="H14">
        <f t="shared" si="2"/>
        <v>9.2568759869441768E-5</v>
      </c>
      <c r="I14">
        <f t="shared" si="2"/>
        <v>1.1064083012656231E-4</v>
      </c>
      <c r="J14">
        <f t="shared" si="2"/>
        <v>1.2614995552287471E-4</v>
      </c>
    </row>
    <row r="15" spans="1:10" x14ac:dyDescent="0.25">
      <c r="A15" s="2"/>
      <c r="B15" s="5" t="s">
        <v>6</v>
      </c>
      <c r="C15">
        <f t="shared" ref="C15:J15" si="3">C4*(3.1415926*0.02^2/4)</f>
        <v>0</v>
      </c>
      <c r="D15">
        <f t="shared" ref="D15:J16" si="4">D4*(3.1415926*0.015^2/4)</f>
        <v>3.5851726535341362E-5</v>
      </c>
      <c r="E15">
        <f t="shared" si="4"/>
        <v>5.3919670869127344E-5</v>
      </c>
      <c r="F15">
        <f t="shared" si="4"/>
        <v>6.2587905006880745E-5</v>
      </c>
      <c r="G15">
        <f t="shared" si="4"/>
        <v>8.2053435699561969E-5</v>
      </c>
      <c r="H15">
        <f t="shared" si="4"/>
        <v>9.6612951432299186E-5</v>
      </c>
      <c r="I15">
        <f t="shared" si="4"/>
        <v>1.1471485426014771E-4</v>
      </c>
      <c r="J15">
        <f t="shared" si="4"/>
        <v>1.2879086888997019E-4</v>
      </c>
    </row>
    <row r="16" spans="1:10" x14ac:dyDescent="0.25">
      <c r="A16" s="2"/>
      <c r="B16" s="5" t="s">
        <v>8</v>
      </c>
      <c r="C16">
        <f t="shared" ref="C16:J16" si="5">C5*(3.1415926*0.02^2/4)</f>
        <v>0</v>
      </c>
      <c r="D16">
        <f t="shared" si="4"/>
        <v>3.4987702541171264E-5</v>
      </c>
      <c r="E16">
        <f t="shared" si="4"/>
        <v>5.2481553811756892E-5</v>
      </c>
      <c r="F16">
        <f t="shared" si="4"/>
        <v>6.592188269716419E-5</v>
      </c>
      <c r="G16">
        <f t="shared" si="4"/>
        <v>8.3897563387618838E-5</v>
      </c>
      <c r="H16">
        <f t="shared" si="4"/>
        <v>1.0049452455309805E-4</v>
      </c>
      <c r="I16">
        <f t="shared" si="4"/>
        <v>1.191638209259422E-4</v>
      </c>
      <c r="J16">
        <f t="shared" si="4"/>
        <v>1.3674329326203647E-4</v>
      </c>
    </row>
    <row r="17" spans="1:10" x14ac:dyDescent="0.25">
      <c r="A17" s="2"/>
      <c r="B17" s="5" t="s">
        <v>2</v>
      </c>
      <c r="C17">
        <f t="shared" ref="C17:J17" si="6">C6*(3.1415926*0.02^2/4)</f>
        <v>0</v>
      </c>
      <c r="D17">
        <f t="shared" si="6"/>
        <v>3.1388888888888891E-5</v>
      </c>
      <c r="E17">
        <f t="shared" si="6"/>
        <v>4.1666666666666665E-5</v>
      </c>
      <c r="F17">
        <f t="shared" si="6"/>
        <v>5.5555555555555558E-5</v>
      </c>
      <c r="G17">
        <f t="shared" si="6"/>
        <v>6.9444444444444444E-5</v>
      </c>
      <c r="H17">
        <f t="shared" si="6"/>
        <v>8.3333333333333331E-5</v>
      </c>
      <c r="I17">
        <f t="shared" si="6"/>
        <v>9.7222222222222203E-5</v>
      </c>
      <c r="J17">
        <f t="shared" si="6"/>
        <v>1.1111111111111112E-4</v>
      </c>
    </row>
    <row r="18" spans="1:10" x14ac:dyDescent="0.25">
      <c r="A18" s="2"/>
      <c r="B18" s="5" t="s">
        <v>4</v>
      </c>
      <c r="C18">
        <f t="shared" ref="C18:J18" si="7">C7*(3.1415926*0.02^2/4)</f>
        <v>0</v>
      </c>
      <c r="D18">
        <f t="shared" si="7"/>
        <v>5.5802469135802477E-5</v>
      </c>
      <c r="E18">
        <f t="shared" si="7"/>
        <v>7.4074074074074087E-5</v>
      </c>
      <c r="F18">
        <f t="shared" si="7"/>
        <v>9.8765432098765453E-5</v>
      </c>
      <c r="G18">
        <f t="shared" si="7"/>
        <v>1.2345679012345679E-4</v>
      </c>
      <c r="H18">
        <f t="shared" si="7"/>
        <v>1.4814814814814817E-4</v>
      </c>
      <c r="I18">
        <f t="shared" si="7"/>
        <v>1.7283950617283953E-4</v>
      </c>
      <c r="J18">
        <f t="shared" si="7"/>
        <v>1.9753086419753091E-4</v>
      </c>
    </row>
    <row r="19" spans="1:10" x14ac:dyDescent="0.25">
      <c r="A19" s="2"/>
      <c r="B19" s="5" t="s">
        <v>6</v>
      </c>
      <c r="C19">
        <f t="shared" ref="C19:J19" si="8">C8*(3.1415926*0.02^2/4)</f>
        <v>0</v>
      </c>
      <c r="D19">
        <f t="shared" si="8"/>
        <v>5.5802469135802477E-5</v>
      </c>
      <c r="E19">
        <f t="shared" si="8"/>
        <v>7.4074074074074087E-5</v>
      </c>
      <c r="F19">
        <f t="shared" si="8"/>
        <v>9.8765432098765453E-5</v>
      </c>
      <c r="G19">
        <f t="shared" si="8"/>
        <v>1.2345679012345679E-4</v>
      </c>
      <c r="H19">
        <f t="shared" si="8"/>
        <v>1.4814814814814817E-4</v>
      </c>
      <c r="I19">
        <f t="shared" si="8"/>
        <v>1.7283950617283953E-4</v>
      </c>
      <c r="J19">
        <f t="shared" si="8"/>
        <v>1.9753086419753091E-4</v>
      </c>
    </row>
    <row r="20" spans="1:10" x14ac:dyDescent="0.25">
      <c r="A20" s="2"/>
      <c r="B20" s="5" t="s">
        <v>8</v>
      </c>
      <c r="C20">
        <f t="shared" ref="C20:J20" si="9">C9*(3.1415926*0.02^2/4)</f>
        <v>0</v>
      </c>
      <c r="D20">
        <f t="shared" si="9"/>
        <v>5.5802469135802477E-5</v>
      </c>
      <c r="E20">
        <f t="shared" si="9"/>
        <v>7.4074074074074087E-5</v>
      </c>
      <c r="F20">
        <f t="shared" si="9"/>
        <v>9.8765432098765453E-5</v>
      </c>
      <c r="G20">
        <f t="shared" si="9"/>
        <v>1.2345679012345679E-4</v>
      </c>
      <c r="H20">
        <f t="shared" si="9"/>
        <v>1.4814814814814817E-4</v>
      </c>
      <c r="I20">
        <f t="shared" si="9"/>
        <v>1.7283950617283953E-4</v>
      </c>
      <c r="J20">
        <f t="shared" si="9"/>
        <v>1.9753086419753091E-4</v>
      </c>
    </row>
  </sheetData>
  <mergeCells count="5">
    <mergeCell ref="A2:A5"/>
    <mergeCell ref="A6:A9"/>
    <mergeCell ref="A1:B1"/>
    <mergeCell ref="A12:B12"/>
    <mergeCell ref="A13:A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原始数据绘图</vt:lpstr>
      <vt:lpstr>Sheet2</vt:lpstr>
      <vt:lpstr>文丘里管流速</vt:lpstr>
      <vt:lpstr>摩擦压降</vt:lpstr>
      <vt:lpstr>动压水头和压强水头</vt:lpstr>
      <vt:lpstr>原始数据</vt:lpstr>
      <vt:lpstr>流速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2023-12-05T15:46:21Z</dcterms:modified>
</cp:coreProperties>
</file>