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FFDEED55-B19D-435A-8736-311CDD0CEF28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实验1" sheetId="1" r:id="rId1"/>
    <sheet name="实验2质量" sheetId="2" r:id="rId2"/>
    <sheet name="实验3质量" sheetId="4" r:id="rId3"/>
    <sheet name="相对误差表" sheetId="5" r:id="rId4"/>
    <sheet name="计算表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6" l="1"/>
  <c r="H14" i="6"/>
  <c r="I13" i="6"/>
  <c r="H13" i="6"/>
  <c r="G13" i="6"/>
  <c r="G12" i="6"/>
  <c r="F12" i="6"/>
  <c r="H12" i="6" s="1"/>
  <c r="I12" i="6" s="1"/>
  <c r="G11" i="6"/>
  <c r="F11" i="6"/>
  <c r="H11" i="6" s="1"/>
  <c r="I11" i="6" s="1"/>
  <c r="G10" i="6"/>
  <c r="F10" i="6"/>
  <c r="H10" i="6" s="1"/>
  <c r="I10" i="6" s="1"/>
  <c r="G9" i="6"/>
  <c r="F9" i="6"/>
  <c r="H9" i="6" s="1"/>
  <c r="I9" i="6" s="1"/>
  <c r="H8" i="6"/>
  <c r="I8" i="6" s="1"/>
  <c r="G8" i="6"/>
  <c r="F8" i="6"/>
  <c r="G7" i="6"/>
  <c r="F7" i="6"/>
  <c r="H7" i="6" s="1"/>
  <c r="I7" i="6" s="1"/>
  <c r="G6" i="6"/>
  <c r="F6" i="6"/>
  <c r="H6" i="6" s="1"/>
  <c r="I6" i="6" s="1"/>
  <c r="C5" i="6"/>
  <c r="F5" i="6" s="1"/>
  <c r="H5" i="6" s="1"/>
  <c r="I5" i="6" s="1"/>
  <c r="B5" i="6"/>
  <c r="G5" i="6" s="1"/>
  <c r="H4" i="6"/>
  <c r="I4" i="6" s="1"/>
  <c r="G4" i="6"/>
  <c r="F4" i="6"/>
  <c r="C4" i="6"/>
  <c r="B4" i="6"/>
  <c r="G3" i="6"/>
  <c r="F3" i="6"/>
  <c r="H3" i="6" s="1"/>
  <c r="I3" i="6" s="1"/>
  <c r="G2" i="6"/>
  <c r="F2" i="6"/>
  <c r="H2" i="6" s="1"/>
  <c r="I2" i="6" s="1"/>
  <c r="D4" i="4"/>
  <c r="C4" i="4"/>
</calcChain>
</file>

<file path=xl/sharedStrings.xml><?xml version="1.0" encoding="utf-8"?>
<sst xmlns="http://schemas.openxmlformats.org/spreadsheetml/2006/main" count="31" uniqueCount="20">
  <si>
    <t>测量次序</t>
    <phoneticPr fontId="1" type="noConversion"/>
  </si>
  <si>
    <t>$m_c/g$</t>
    <phoneticPr fontId="1" type="noConversion"/>
  </si>
  <si>
    <t>$(m_c+m_0)/g$</t>
    <phoneticPr fontId="1" type="noConversion"/>
  </si>
  <si>
    <t>$(m_c+m_0+m)/g$</t>
    <phoneticPr fontId="1" type="noConversion"/>
  </si>
  <si>
    <t>$T_0/\circ C$</t>
    <phoneticPr fontId="1" type="noConversion"/>
  </si>
  <si>
    <t>$T/\circ C$</t>
    <phoneticPr fontId="1" type="noConversion"/>
  </si>
  <si>
    <t>C0</t>
  </si>
  <si>
    <t>C1</t>
  </si>
  <si>
    <t>文件编号</t>
    <phoneticPr fontId="1" type="noConversion"/>
  </si>
  <si>
    <t>测量序号</t>
    <phoneticPr fontId="1" type="noConversion"/>
  </si>
  <si>
    <t>L/(J/g)</t>
  </si>
  <si>
    <t>相对误差</t>
  </si>
  <si>
    <t>$T_0/^\circ C$</t>
    <phoneticPr fontId="1" type="noConversion"/>
  </si>
  <si>
    <t>$T/^\circ C$</t>
    <phoneticPr fontId="1" type="noConversion"/>
  </si>
  <si>
    <t>m/g</t>
    <phoneticPr fontId="1" type="noConversion"/>
  </si>
  <si>
    <t>$m_0/g$</t>
    <phoneticPr fontId="1" type="noConversion"/>
  </si>
  <si>
    <t>L/(J/g)</t>
    <phoneticPr fontId="1" type="noConversion"/>
  </si>
  <si>
    <t>相对误差</t>
    <phoneticPr fontId="1" type="noConversion"/>
  </si>
  <si>
    <t>C0</t>
    <phoneticPr fontId="1" type="noConversion"/>
  </si>
  <si>
    <t>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</si>
</sst>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G13" sqref="G13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3">
      <c r="A2">
        <v>1</v>
      </c>
      <c r="B2" s="1">
        <v>285.44</v>
      </c>
      <c r="C2" s="1">
        <v>632.91999999999996</v>
      </c>
      <c r="D2" s="1">
        <v>655.17999999999995</v>
      </c>
      <c r="E2" s="2">
        <v>28.3</v>
      </c>
      <c r="F2" s="2">
        <v>22.1</v>
      </c>
    </row>
    <row r="3" spans="1:21" x14ac:dyDescent="0.3">
      <c r="A3">
        <v>2</v>
      </c>
      <c r="B3" s="1">
        <v>286.06</v>
      </c>
      <c r="C3" s="1">
        <v>602.1</v>
      </c>
      <c r="D3" s="1">
        <v>659.22</v>
      </c>
      <c r="E3" s="2">
        <v>29.2</v>
      </c>
      <c r="F3" s="2">
        <v>13.4</v>
      </c>
    </row>
    <row r="4" spans="1:21" x14ac:dyDescent="0.3">
      <c r="A4">
        <v>3</v>
      </c>
      <c r="B4" s="1">
        <v>286.51</v>
      </c>
      <c r="C4" s="1">
        <v>728.01</v>
      </c>
      <c r="D4" s="1">
        <v>765.5</v>
      </c>
      <c r="E4" s="2">
        <v>32.700000000000003</v>
      </c>
      <c r="F4" s="2">
        <v>24</v>
      </c>
      <c r="T4" t="s">
        <v>6</v>
      </c>
      <c r="U4" t="s">
        <v>7</v>
      </c>
    </row>
    <row r="5" spans="1:21" x14ac:dyDescent="0.3">
      <c r="A5">
        <v>4</v>
      </c>
      <c r="B5" s="1">
        <v>286.51</v>
      </c>
      <c r="C5" s="1">
        <v>702.47</v>
      </c>
      <c r="D5" s="1">
        <v>756.9</v>
      </c>
      <c r="E5" s="2">
        <v>25.8</v>
      </c>
      <c r="F5" s="2">
        <v>14</v>
      </c>
      <c r="T5">
        <v>4.18</v>
      </c>
      <c r="U5">
        <v>0.46</v>
      </c>
    </row>
    <row r="6" spans="1:21" x14ac:dyDescent="0.3">
      <c r="A6">
        <v>5</v>
      </c>
      <c r="B6" s="1">
        <v>286.51</v>
      </c>
      <c r="C6" s="1">
        <v>747.33</v>
      </c>
      <c r="D6" s="1">
        <v>803.74</v>
      </c>
      <c r="E6" s="2">
        <v>39.4</v>
      </c>
      <c r="F6" s="2">
        <v>26.6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BA86-E135-48CD-91D8-7D5E380C8B71}">
  <dimension ref="A1:E5"/>
  <sheetViews>
    <sheetView workbookViewId="0">
      <selection activeCell="C13" sqref="C13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>
        <v>1</v>
      </c>
      <c r="B2">
        <v>285.44</v>
      </c>
      <c r="C2">
        <v>703.39</v>
      </c>
      <c r="D2">
        <v>749.56</v>
      </c>
      <c r="E2">
        <v>222</v>
      </c>
    </row>
    <row r="3" spans="1:5" x14ac:dyDescent="0.3">
      <c r="A3">
        <v>2</v>
      </c>
      <c r="B3">
        <v>285.44</v>
      </c>
      <c r="C3">
        <v>688.98</v>
      </c>
      <c r="D3">
        <v>752.96</v>
      </c>
      <c r="E3">
        <v>21</v>
      </c>
    </row>
    <row r="4" spans="1:5" x14ac:dyDescent="0.3">
      <c r="A4">
        <v>3</v>
      </c>
      <c r="B4">
        <v>285.44</v>
      </c>
      <c r="C4">
        <v>666.38</v>
      </c>
      <c r="D4">
        <v>740.33</v>
      </c>
      <c r="E4">
        <v>22</v>
      </c>
    </row>
    <row r="5" spans="1:5" x14ac:dyDescent="0.3">
      <c r="A5">
        <v>4</v>
      </c>
      <c r="B5">
        <v>285.44</v>
      </c>
      <c r="C5">
        <v>647.16</v>
      </c>
      <c r="D5">
        <v>711.92</v>
      </c>
      <c r="E5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1282-4B40-49EC-87A5-DA38BAE530F5}">
  <dimension ref="A1:D4"/>
  <sheetViews>
    <sheetView workbookViewId="0">
      <selection activeCell="D5" sqref="D5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30.27</v>
      </c>
      <c r="C2">
        <v>163.30000000000001</v>
      </c>
      <c r="D2">
        <v>181.85</v>
      </c>
    </row>
    <row r="3" spans="1:4" x14ac:dyDescent="0.3">
      <c r="A3">
        <v>2</v>
      </c>
      <c r="B3">
        <v>26.7</v>
      </c>
      <c r="C3">
        <v>157.94</v>
      </c>
      <c r="D3">
        <v>176.09</v>
      </c>
    </row>
    <row r="4" spans="1:4" x14ac:dyDescent="0.3">
      <c r="A4">
        <v>3</v>
      </c>
      <c r="B4">
        <v>30.27</v>
      </c>
      <c r="C4">
        <f>163.3-7.8</f>
        <v>155.5</v>
      </c>
      <c r="D4">
        <f>D2-7.8</f>
        <v>174.04999999999998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4BF8-7FA3-4B3A-B9B1-FEDF61AC514E}">
  <dimension ref="A1:C9"/>
  <sheetViews>
    <sheetView workbookViewId="0">
      <selection activeCell="G16" sqref="G16"/>
    </sheetView>
  </sheetViews>
  <sheetFormatPr defaultRowHeight="1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>
        <v>1</v>
      </c>
      <c r="B2" s="1">
        <v>324.3505990584008</v>
      </c>
      <c r="C2" s="3">
        <v>-2.8890421980835919E-2</v>
      </c>
    </row>
    <row r="3" spans="1:3" x14ac:dyDescent="0.3">
      <c r="A3">
        <v>2</v>
      </c>
      <c r="B3" s="1">
        <v>321.52442784733893</v>
      </c>
      <c r="C3" s="3">
        <v>-3.7352012433116984E-2</v>
      </c>
    </row>
    <row r="4" spans="1:3" x14ac:dyDescent="0.3">
      <c r="A4">
        <v>3</v>
      </c>
      <c r="B4" s="1">
        <v>338.12788305308089</v>
      </c>
      <c r="C4" s="3">
        <v>1.235893129664938E-2</v>
      </c>
    </row>
    <row r="5" spans="1:3" x14ac:dyDescent="0.3">
      <c r="A5">
        <v>4</v>
      </c>
      <c r="B5" s="1">
        <v>340.18937711587654</v>
      </c>
      <c r="C5" s="3">
        <v>1.8531069209211194E-2</v>
      </c>
    </row>
    <row r="6" spans="1:3" x14ac:dyDescent="0.3">
      <c r="A6">
        <v>5</v>
      </c>
      <c r="B6" s="1">
        <v>308.13908181203487</v>
      </c>
      <c r="C6" s="3">
        <v>-7.7427898766362649E-2</v>
      </c>
    </row>
    <row r="7" spans="1:3" x14ac:dyDescent="0.3">
      <c r="A7">
        <v>6</v>
      </c>
      <c r="B7" s="1">
        <v>268.54844842495368</v>
      </c>
      <c r="C7" s="3">
        <v>-0.19596272926660577</v>
      </c>
    </row>
    <row r="8" spans="1:3" x14ac:dyDescent="0.3">
      <c r="A8">
        <v>7</v>
      </c>
      <c r="B8" s="1">
        <v>304.6700269541783</v>
      </c>
      <c r="C8" s="3">
        <v>-8.7814290556352398E-2</v>
      </c>
    </row>
    <row r="9" spans="1:3" x14ac:dyDescent="0.3">
      <c r="A9">
        <v>8</v>
      </c>
      <c r="B9" s="1">
        <v>292.04930761622165</v>
      </c>
      <c r="C9" s="3">
        <v>-0.12560087540053397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AFB5-32AA-440C-AA8E-73DE5745B6E1}">
  <dimension ref="A1:M14"/>
  <sheetViews>
    <sheetView tabSelected="1" workbookViewId="0">
      <selection activeCell="H25" sqref="H25"/>
    </sheetView>
  </sheetViews>
  <sheetFormatPr defaultRowHeight="14" x14ac:dyDescent="0.3"/>
  <sheetData>
    <row r="1" spans="1:13" x14ac:dyDescent="0.3">
      <c r="A1" t="s">
        <v>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13" x14ac:dyDescent="0.3">
      <c r="A2" s="1">
        <v>285.44</v>
      </c>
      <c r="B2" s="1">
        <v>632.91999999999996</v>
      </c>
      <c r="C2" s="1">
        <v>655.17999999999995</v>
      </c>
      <c r="D2" s="1">
        <v>28.3</v>
      </c>
      <c r="E2" s="1">
        <v>22.1</v>
      </c>
      <c r="F2" s="1">
        <f>C2-B2</f>
        <v>22.259999999999991</v>
      </c>
      <c r="G2" s="1">
        <f>B2-A2</f>
        <v>347.47999999999996</v>
      </c>
      <c r="H2" s="1">
        <f>(1/F2)*(G2*$L$3+0.333*A2*$M$3)*(D2-E2)-$L$3*(E2)</f>
        <v>324.3505990584008</v>
      </c>
      <c r="I2" s="3">
        <f>(H2-334)/334</f>
        <v>-2.8890421980835919E-2</v>
      </c>
      <c r="L2" t="s">
        <v>18</v>
      </c>
      <c r="M2" t="s">
        <v>19</v>
      </c>
    </row>
    <row r="3" spans="1:13" x14ac:dyDescent="0.3">
      <c r="A3" s="1">
        <v>286.06</v>
      </c>
      <c r="B3" s="1">
        <v>602.1</v>
      </c>
      <c r="C3" s="1">
        <v>659.22</v>
      </c>
      <c r="D3" s="1">
        <v>29.2</v>
      </c>
      <c r="E3" s="1">
        <v>13.4</v>
      </c>
      <c r="F3" s="1">
        <f>C3-B3</f>
        <v>57.120000000000005</v>
      </c>
      <c r="G3" s="1">
        <f>B3-A3</f>
        <v>316.04000000000002</v>
      </c>
      <c r="H3" s="1">
        <f>(1/F3)*(G3*$L$3+0.333*A3*$M$3)*(D3-E3)-$L$3*(E3)</f>
        <v>321.52442784733893</v>
      </c>
      <c r="I3" s="3">
        <f t="shared" ref="I3:I14" si="0">(H3-334)/334</f>
        <v>-3.7352012433116984E-2</v>
      </c>
      <c r="L3">
        <v>4.18</v>
      </c>
      <c r="M3">
        <v>0.46</v>
      </c>
    </row>
    <row r="4" spans="1:13" x14ac:dyDescent="0.3">
      <c r="A4" s="1">
        <v>286.51</v>
      </c>
      <c r="B4" s="1">
        <f>782.88-54.87</f>
        <v>728.01</v>
      </c>
      <c r="C4" s="1">
        <f>820.37-54.87</f>
        <v>765.5</v>
      </c>
      <c r="D4" s="1">
        <v>32.700000000000003</v>
      </c>
      <c r="E4" s="1">
        <v>24</v>
      </c>
      <c r="F4" s="1">
        <f>C4-B4</f>
        <v>37.490000000000009</v>
      </c>
      <c r="G4" s="1">
        <f>B4-A4</f>
        <v>441.5</v>
      </c>
      <c r="H4" s="1">
        <f>(1/F4)*(G4*$L$3+0.333*A4*$M$3)*(D4-E4)-$L$3*(E4)</f>
        <v>338.12788305308089</v>
      </c>
      <c r="I4" s="3">
        <f t="shared" si="0"/>
        <v>1.235893129664938E-2</v>
      </c>
    </row>
    <row r="5" spans="1:13" x14ac:dyDescent="0.3">
      <c r="A5" s="1">
        <v>286.51</v>
      </c>
      <c r="B5" s="1">
        <f>757.34-54.87</f>
        <v>702.47</v>
      </c>
      <c r="C5" s="1">
        <f>811.77-54.87</f>
        <v>756.9</v>
      </c>
      <c r="D5" s="1">
        <v>25.8</v>
      </c>
      <c r="E5" s="1">
        <v>14</v>
      </c>
      <c r="F5" s="1">
        <f>C5-B5</f>
        <v>54.42999999999995</v>
      </c>
      <c r="G5" s="1">
        <f>B5-A5</f>
        <v>415.96000000000004</v>
      </c>
      <c r="H5" s="1">
        <f>(1/F5)*(G5*$L$3+0.333*A5*$M$3)*(D5-E5)-$L$3*(E5)</f>
        <v>327.93388097078861</v>
      </c>
      <c r="I5" s="3">
        <f t="shared" si="0"/>
        <v>-1.8162033021590997E-2</v>
      </c>
    </row>
    <row r="6" spans="1:13" x14ac:dyDescent="0.3">
      <c r="A6" s="1">
        <v>286.51</v>
      </c>
      <c r="B6" s="1">
        <v>747.33</v>
      </c>
      <c r="C6" s="1">
        <v>803.74</v>
      </c>
      <c r="D6" s="1">
        <v>39.4</v>
      </c>
      <c r="E6" s="1">
        <v>26.6</v>
      </c>
      <c r="F6" s="1">
        <f t="shared" ref="F6:F12" si="1">C6-B6</f>
        <v>56.409999999999968</v>
      </c>
      <c r="G6" s="1">
        <f t="shared" ref="G6:G13" si="2">B6-A6</f>
        <v>460.82000000000005</v>
      </c>
      <c r="H6" s="1">
        <f t="shared" ref="H6:H14" si="3">(1/F6)*(G6*$L$3+0.333*A6*$M$3)*(D6-E6)-$L$3*(E6)</f>
        <v>335.85108142244297</v>
      </c>
      <c r="I6" s="3">
        <f t="shared" si="0"/>
        <v>5.5421599474340527E-3</v>
      </c>
    </row>
    <row r="7" spans="1:13" x14ac:dyDescent="0.3">
      <c r="A7" s="1">
        <v>285.44</v>
      </c>
      <c r="B7" s="1">
        <v>703.39</v>
      </c>
      <c r="C7" s="1">
        <v>749.56</v>
      </c>
      <c r="D7">
        <v>28.6</v>
      </c>
      <c r="E7">
        <v>17.899999999999999</v>
      </c>
      <c r="F7" s="1">
        <f t="shared" si="1"/>
        <v>46.169999999999959</v>
      </c>
      <c r="G7" s="1">
        <f t="shared" si="2"/>
        <v>417.95</v>
      </c>
      <c r="H7" s="1">
        <f t="shared" si="3"/>
        <v>340.18937711587654</v>
      </c>
      <c r="I7" s="3">
        <f t="shared" si="0"/>
        <v>1.8531069209211194E-2</v>
      </c>
    </row>
    <row r="8" spans="1:13" x14ac:dyDescent="0.3">
      <c r="A8" s="1">
        <v>285.44</v>
      </c>
      <c r="B8" s="1">
        <v>666.38</v>
      </c>
      <c r="C8" s="1">
        <v>740.33</v>
      </c>
      <c r="D8">
        <v>31.5</v>
      </c>
      <c r="E8">
        <v>15.5</v>
      </c>
      <c r="F8" s="1">
        <f t="shared" si="1"/>
        <v>73.950000000000045</v>
      </c>
      <c r="G8" s="1">
        <f t="shared" si="2"/>
        <v>380.94</v>
      </c>
      <c r="H8" s="1">
        <f>(1/F8)*(G8*$L$3+A8*$M$3)*(D8-E8)-$L$3*(E8)</f>
        <v>308.13908181203487</v>
      </c>
      <c r="I8" s="3">
        <f t="shared" si="0"/>
        <v>-7.7427898766362649E-2</v>
      </c>
    </row>
    <row r="9" spans="1:13" x14ac:dyDescent="0.3">
      <c r="A9" s="1">
        <v>285.44</v>
      </c>
      <c r="B9" s="1">
        <v>647.16</v>
      </c>
      <c r="C9" s="1">
        <v>711.92</v>
      </c>
      <c r="D9" s="1">
        <v>30.5</v>
      </c>
      <c r="E9">
        <v>17.100000000000001</v>
      </c>
      <c r="F9" s="1">
        <f t="shared" si="1"/>
        <v>64.759999999999991</v>
      </c>
      <c r="G9" s="1">
        <f t="shared" si="2"/>
        <v>361.71999999999997</v>
      </c>
      <c r="H9" s="1">
        <f t="shared" ref="H9:H11" si="4">(1/F9)*(G9*$L$3+A9*$M$3)*(D9-E9)-$L$3*(E9)</f>
        <v>268.54844842495368</v>
      </c>
      <c r="I9" s="3">
        <f t="shared" si="0"/>
        <v>-0.19596272926660577</v>
      </c>
    </row>
    <row r="10" spans="1:13" x14ac:dyDescent="0.3">
      <c r="A10" s="1">
        <v>30.27</v>
      </c>
      <c r="B10" s="1">
        <v>163.30000000000001</v>
      </c>
      <c r="C10" s="1">
        <v>181.85</v>
      </c>
      <c r="D10" s="1">
        <v>31.5</v>
      </c>
      <c r="E10">
        <v>19</v>
      </c>
      <c r="F10" s="1">
        <f t="shared" si="1"/>
        <v>18.549999999999983</v>
      </c>
      <c r="G10" s="1">
        <f t="shared" si="2"/>
        <v>133.03</v>
      </c>
      <c r="H10" s="1">
        <f t="shared" si="4"/>
        <v>304.6700269541783</v>
      </c>
      <c r="I10" s="3">
        <f t="shared" si="0"/>
        <v>-8.7814290556352398E-2</v>
      </c>
    </row>
    <row r="11" spans="1:13" x14ac:dyDescent="0.3">
      <c r="A11" s="1">
        <v>27.73</v>
      </c>
      <c r="B11" s="1">
        <v>158.44</v>
      </c>
      <c r="C11" s="1">
        <v>178.66</v>
      </c>
      <c r="D11" s="1">
        <v>33.700000000000003</v>
      </c>
      <c r="E11" s="1">
        <v>20.100000000000001</v>
      </c>
      <c r="F11" s="1">
        <f t="shared" si="1"/>
        <v>20.22</v>
      </c>
      <c r="G11" s="1">
        <f t="shared" si="2"/>
        <v>130.71</v>
      </c>
      <c r="H11" s="1">
        <f t="shared" si="4"/>
        <v>292.04930761622165</v>
      </c>
      <c r="I11" s="3">
        <f t="shared" si="0"/>
        <v>-0.12560087540053397</v>
      </c>
    </row>
    <row r="12" spans="1:13" x14ac:dyDescent="0.3">
      <c r="F12" s="1">
        <f t="shared" si="1"/>
        <v>0</v>
      </c>
      <c r="G12" s="1">
        <f t="shared" si="2"/>
        <v>0</v>
      </c>
      <c r="H12" s="1" t="e">
        <f t="shared" si="3"/>
        <v>#DIV/0!</v>
      </c>
      <c r="I12" s="3" t="e">
        <f t="shared" si="0"/>
        <v>#DIV/0!</v>
      </c>
    </row>
    <row r="13" spans="1:13" x14ac:dyDescent="0.3">
      <c r="G13" s="1">
        <f t="shared" si="2"/>
        <v>0</v>
      </c>
      <c r="H13" s="1" t="e">
        <f t="shared" si="3"/>
        <v>#DIV/0!</v>
      </c>
      <c r="I13" s="3" t="e">
        <f t="shared" si="0"/>
        <v>#DIV/0!</v>
      </c>
    </row>
    <row r="14" spans="1:13" x14ac:dyDescent="0.3">
      <c r="H14" s="1" t="e">
        <f t="shared" si="3"/>
        <v>#DIV/0!</v>
      </c>
      <c r="I14" s="3" t="e">
        <f t="shared" si="0"/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实验1</vt:lpstr>
      <vt:lpstr>实验2质量</vt:lpstr>
      <vt:lpstr>实验3质量</vt:lpstr>
      <vt:lpstr>相对误差表</vt:lpstr>
      <vt:lpstr>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2023-12-13T16:08:11Z</dcterms:modified>
</cp:coreProperties>
</file>