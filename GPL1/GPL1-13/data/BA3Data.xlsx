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BA3 应用 AMR 测量磁场分布\"/>
    </mc:Choice>
  </mc:AlternateContent>
  <xr:revisionPtr revIDLastSave="0" documentId="13_ncr:1_{51BEFB85-F580-4D33-9B87-B62894F138BF}" xr6:coauthVersionLast="47" xr6:coauthVersionMax="47" xr10:uidLastSave="{00000000-0000-0000-0000-000000000000}"/>
  <bookViews>
    <workbookView xWindow="380" yWindow="380" windowWidth="20540" windowHeight="13780" xr2:uid="{00000000-000D-0000-FFFF-FFFF00000000}"/>
  </bookViews>
  <sheets>
    <sheet name="AMR1" sheetId="1" r:id="rId1"/>
    <sheet name="AMR2" sheetId="2" r:id="rId2"/>
    <sheet name="Helmholtz1" sheetId="3" r:id="rId3"/>
    <sheet name="Helmholtz2" sheetId="4" r:id="rId4"/>
    <sheet name="eart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C5" i="3"/>
  <c r="D5" i="3"/>
  <c r="E5" i="3"/>
  <c r="F5" i="3"/>
  <c r="G5" i="3"/>
  <c r="H5" i="3"/>
  <c r="I5" i="3"/>
  <c r="J5" i="3"/>
  <c r="K5" i="3"/>
  <c r="L5" i="3"/>
  <c r="B5" i="3"/>
  <c r="C4" i="3"/>
  <c r="D4" i="3"/>
  <c r="E4" i="3"/>
  <c r="F4" i="3"/>
  <c r="G4" i="3"/>
  <c r="H4" i="3"/>
  <c r="I4" i="3"/>
  <c r="J4" i="3"/>
  <c r="K4" i="3"/>
  <c r="L4" i="3"/>
  <c r="B4" i="3"/>
  <c r="D3" i="5"/>
</calcChain>
</file>

<file path=xl/sharedStrings.xml><?xml version="1.0" encoding="utf-8"?>
<sst xmlns="http://schemas.openxmlformats.org/spreadsheetml/2006/main" count="42" uniqueCount="35">
  <si>
    <t>线圈电流/mA</t>
    <phoneticPr fontId="1" type="noConversion"/>
  </si>
  <si>
    <t>输出电压/V</t>
    <phoneticPr fontId="1" type="noConversion"/>
  </si>
  <si>
    <t>磁感应强度/Gauss</t>
    <phoneticPr fontId="1" type="noConversion"/>
  </si>
  <si>
    <t>夹角$\alpha/degree$</t>
    <phoneticPr fontId="1" type="noConversion"/>
  </si>
  <si>
    <t>位置x</t>
  </si>
  <si>
    <t>-0.5R</t>
  </si>
  <si>
    <t>-0.4R</t>
  </si>
  <si>
    <t>-0.3R</t>
  </si>
  <si>
    <t>-0.2R</t>
  </si>
  <si>
    <t>-0.1R</t>
  </si>
  <si>
    <t>0.1R</t>
  </si>
  <si>
    <t>0.2R</t>
  </si>
  <si>
    <t>0.3R</t>
  </si>
  <si>
    <t>0.4R</t>
  </si>
  <si>
    <t>0.5R</t>
  </si>
  <si>
    <t>计算值B(x)/B0</t>
    <phoneticPr fontId="1" type="noConversion"/>
  </si>
  <si>
    <t>0.05R</t>
  </si>
  <si>
    <t>0.10R</t>
  </si>
  <si>
    <t>0.15R</t>
  </si>
  <si>
    <t>0.20R</t>
  </si>
  <si>
    <t>0.25R</t>
  </si>
  <si>
    <t>0.30R</t>
  </si>
  <si>
    <t>磁倾角（度）</t>
  </si>
  <si>
    <t>磁感应强度</t>
  </si>
  <si>
    <r>
      <t>U</t>
    </r>
    <r>
      <rPr>
        <vertAlign val="subscript"/>
        <sz val="10.5"/>
        <color theme="1"/>
        <rFont val="Times New Roman"/>
        <family val="1"/>
      </rPr>
      <t>1</t>
    </r>
    <r>
      <rPr>
        <sz val="10.5"/>
        <color theme="1"/>
        <rFont val="Times New Roman"/>
        <family val="1"/>
      </rPr>
      <t>(V)</t>
    </r>
  </si>
  <si>
    <r>
      <t>U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(V)</t>
    </r>
  </si>
  <si>
    <r>
      <t>U=(U</t>
    </r>
    <r>
      <rPr>
        <vertAlign val="subscript"/>
        <sz val="10.5"/>
        <color theme="1"/>
        <rFont val="Times New Roman"/>
        <family val="1"/>
      </rPr>
      <t>1</t>
    </r>
    <r>
      <rPr>
        <sz val="10.5"/>
        <color theme="1"/>
        <rFont val="Times New Roman"/>
        <family val="1"/>
      </rPr>
      <t>-U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)/2 (V)</t>
    </r>
  </si>
  <si>
    <r>
      <t>B(</t>
    </r>
    <r>
      <rPr>
        <sz val="10.5"/>
        <color theme="1"/>
        <rFont val="宋体"/>
        <family val="3"/>
        <charset val="134"/>
      </rPr>
      <t>高斯</t>
    </r>
    <r>
      <rPr>
        <sz val="10.5"/>
        <color theme="1"/>
        <rFont val="Times New Roman"/>
        <family val="1"/>
      </rPr>
      <t>)</t>
    </r>
  </si>
  <si>
    <t>\digbox{Y}{$U_x/V$}{X}</t>
    <phoneticPr fontId="1" type="noConversion"/>
  </si>
  <si>
    <t>测量值B(x)/V</t>
    <phoneticPr fontId="1" type="noConversion"/>
  </si>
  <si>
    <t>测量值B(x)/Gauss</t>
    <phoneticPr fontId="1" type="noConversion"/>
  </si>
  <si>
    <t>测量值B(x)/B0</t>
    <phoneticPr fontId="1" type="noConversion"/>
  </si>
  <si>
    <t>倾角/degree</t>
    <phoneticPr fontId="1" type="noConversion"/>
  </si>
  <si>
    <t>$U_1/V$</t>
    <phoneticPr fontId="1" type="noConversion"/>
  </si>
  <si>
    <t>水平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</si>
</sst>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2" sqref="A2:N3"/>
    </sheetView>
  </sheetViews>
  <sheetFormatPr defaultRowHeight="14" x14ac:dyDescent="0.3"/>
  <sheetData>
    <row r="1" spans="1:14" x14ac:dyDescent="0.3">
      <c r="A1" t="s">
        <v>0</v>
      </c>
      <c r="B1">
        <v>300</v>
      </c>
      <c r="C1">
        <v>250</v>
      </c>
      <c r="D1">
        <v>200</v>
      </c>
      <c r="E1">
        <v>150</v>
      </c>
      <c r="F1">
        <v>100</v>
      </c>
      <c r="G1">
        <v>50</v>
      </c>
      <c r="H1">
        <v>0</v>
      </c>
      <c r="I1">
        <v>-50</v>
      </c>
      <c r="J1">
        <v>-100</v>
      </c>
      <c r="K1">
        <v>-150</v>
      </c>
      <c r="L1">
        <v>-200</v>
      </c>
      <c r="M1">
        <v>-250</v>
      </c>
      <c r="N1">
        <v>-300</v>
      </c>
    </row>
    <row r="2" spans="1:14" x14ac:dyDescent="0.3">
      <c r="A2" t="s">
        <v>2</v>
      </c>
      <c r="B2">
        <v>6</v>
      </c>
      <c r="C2">
        <v>5</v>
      </c>
      <c r="D2">
        <v>4</v>
      </c>
      <c r="E2">
        <v>3</v>
      </c>
      <c r="F2">
        <v>2</v>
      </c>
      <c r="G2">
        <v>1</v>
      </c>
      <c r="H2">
        <v>0</v>
      </c>
      <c r="I2">
        <v>-1</v>
      </c>
      <c r="J2">
        <v>-2</v>
      </c>
      <c r="K2">
        <v>-3</v>
      </c>
      <c r="L2">
        <v>-4</v>
      </c>
      <c r="M2">
        <v>-5</v>
      </c>
      <c r="N2">
        <v>-6</v>
      </c>
    </row>
    <row r="3" spans="1:14" x14ac:dyDescent="0.3">
      <c r="A3" t="s">
        <v>1</v>
      </c>
      <c r="B3" s="2">
        <v>1.5009999999999999</v>
      </c>
      <c r="C3" s="2">
        <v>1.27</v>
      </c>
      <c r="D3" s="2">
        <v>1.0269999999999999</v>
      </c>
      <c r="E3" s="2">
        <v>0.77500000000000002</v>
      </c>
      <c r="F3" s="2">
        <v>0.51800000000000002</v>
      </c>
      <c r="G3" s="2">
        <v>0.25800000000000001</v>
      </c>
      <c r="H3" s="2">
        <v>0</v>
      </c>
      <c r="I3" s="2">
        <v>-0.26400000000000001</v>
      </c>
      <c r="J3" s="2">
        <v>-0.52500000000000002</v>
      </c>
      <c r="K3" s="2">
        <v>-0.77700000000000002</v>
      </c>
      <c r="L3" s="2">
        <v>-1.0249999999999999</v>
      </c>
      <c r="M3" s="2">
        <v>-1.26</v>
      </c>
      <c r="N3" s="2">
        <v>-1.4870000000000001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A3D6-3539-4BEA-BE74-D9D6A4CD9A2E}">
  <dimension ref="A1:K2"/>
  <sheetViews>
    <sheetView workbookViewId="0">
      <selection sqref="A1:K2"/>
    </sheetView>
  </sheetViews>
  <sheetFormatPr defaultRowHeight="14" x14ac:dyDescent="0.3"/>
  <sheetData>
    <row r="1" spans="1:11" x14ac:dyDescent="0.3">
      <c r="A1" t="s">
        <v>3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</row>
    <row r="2" spans="1:11" x14ac:dyDescent="0.3">
      <c r="A2" t="s">
        <v>1</v>
      </c>
      <c r="B2" s="2">
        <v>1.0269999999999999</v>
      </c>
      <c r="C2" s="2">
        <v>1.0129999999999999</v>
      </c>
      <c r="D2" s="2">
        <v>0.97</v>
      </c>
      <c r="E2" s="2">
        <v>0.89900000000000002</v>
      </c>
      <c r="F2" s="2">
        <v>0.79900000000000004</v>
      </c>
      <c r="G2" s="2">
        <v>0.67500000000000004</v>
      </c>
      <c r="H2" s="2">
        <v>0.52400000000000002</v>
      </c>
      <c r="I2" s="2">
        <v>0.36399999999999999</v>
      </c>
      <c r="J2" s="2">
        <v>0.17699999999999999</v>
      </c>
      <c r="K2" s="2">
        <v>-6.0000000000000001E-3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E50F-9EF9-429C-8A9F-C6B2071CDD95}">
  <dimension ref="A1:L5"/>
  <sheetViews>
    <sheetView workbookViewId="0">
      <selection activeCell="A4" activeCellId="1" sqref="A1:L1 A4:L4"/>
    </sheetView>
  </sheetViews>
  <sheetFormatPr defaultRowHeight="14" x14ac:dyDescent="0.3"/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>
        <v>0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t="s">
        <v>15</v>
      </c>
      <c r="B2" s="2">
        <v>0.94599999999999995</v>
      </c>
      <c r="C2" s="2">
        <v>0.97499999999999998</v>
      </c>
      <c r="D2" s="2">
        <v>0.99199999999999999</v>
      </c>
      <c r="E2" s="2">
        <v>0.998</v>
      </c>
      <c r="F2" s="2">
        <v>1</v>
      </c>
      <c r="G2" s="2">
        <v>1</v>
      </c>
      <c r="H2" s="2">
        <v>1</v>
      </c>
      <c r="I2" s="2">
        <v>0.998</v>
      </c>
      <c r="J2" s="2">
        <v>0.99199999999999999</v>
      </c>
      <c r="K2" s="2">
        <v>0.97499999999999998</v>
      </c>
      <c r="L2" s="2">
        <v>0.94599999999999995</v>
      </c>
    </row>
    <row r="3" spans="1:12" x14ac:dyDescent="0.3">
      <c r="A3" t="s">
        <v>29</v>
      </c>
      <c r="B3" s="2">
        <v>1.42</v>
      </c>
      <c r="C3" s="2">
        <v>1.4630000000000001</v>
      </c>
      <c r="D3" s="2">
        <v>1.4850000000000001</v>
      </c>
      <c r="E3" s="2">
        <v>1.496</v>
      </c>
      <c r="F3" s="2">
        <v>1.4970000000000001</v>
      </c>
      <c r="G3" s="2">
        <v>1.5</v>
      </c>
      <c r="H3" s="2">
        <v>1.498</v>
      </c>
      <c r="I3" s="2">
        <v>1.4970000000000001</v>
      </c>
      <c r="J3" s="2">
        <v>1.49</v>
      </c>
      <c r="K3" s="2">
        <v>1.468</v>
      </c>
      <c r="L3" s="2">
        <v>1.4319999999999999</v>
      </c>
    </row>
    <row r="4" spans="1:12" x14ac:dyDescent="0.3">
      <c r="A4" t="s">
        <v>30</v>
      </c>
      <c r="B4">
        <f>B3/0.25</f>
        <v>5.68</v>
      </c>
      <c r="C4">
        <f t="shared" ref="C4:L4" si="0">C3/0.25</f>
        <v>5.8520000000000003</v>
      </c>
      <c r="D4">
        <f t="shared" si="0"/>
        <v>5.94</v>
      </c>
      <c r="E4">
        <f t="shared" si="0"/>
        <v>5.984</v>
      </c>
      <c r="F4">
        <f t="shared" si="0"/>
        <v>5.9880000000000004</v>
      </c>
      <c r="G4">
        <f t="shared" si="0"/>
        <v>6</v>
      </c>
      <c r="H4">
        <f t="shared" si="0"/>
        <v>5.992</v>
      </c>
      <c r="I4">
        <f t="shared" si="0"/>
        <v>5.9880000000000004</v>
      </c>
      <c r="J4">
        <f t="shared" si="0"/>
        <v>5.96</v>
      </c>
      <c r="K4">
        <f t="shared" si="0"/>
        <v>5.8719999999999999</v>
      </c>
      <c r="L4">
        <f t="shared" si="0"/>
        <v>5.7279999999999998</v>
      </c>
    </row>
    <row r="5" spans="1:12" x14ac:dyDescent="0.3">
      <c r="A5" t="s">
        <v>31</v>
      </c>
      <c r="B5" s="2">
        <f>B4/6</f>
        <v>0.94666666666666666</v>
      </c>
      <c r="C5" s="2">
        <f t="shared" ref="C5:L5" si="1">C4/6</f>
        <v>0.97533333333333339</v>
      </c>
      <c r="D5" s="2">
        <f t="shared" si="1"/>
        <v>0.9900000000000001</v>
      </c>
      <c r="E5" s="2">
        <f t="shared" si="1"/>
        <v>0.99733333333333329</v>
      </c>
      <c r="F5" s="2">
        <f t="shared" si="1"/>
        <v>0.99800000000000011</v>
      </c>
      <c r="G5" s="2">
        <f t="shared" si="1"/>
        <v>1</v>
      </c>
      <c r="H5" s="2">
        <f t="shared" si="1"/>
        <v>0.9986666666666667</v>
      </c>
      <c r="I5" s="2">
        <f t="shared" si="1"/>
        <v>0.99800000000000011</v>
      </c>
      <c r="J5" s="2">
        <f t="shared" si="1"/>
        <v>0.99333333333333329</v>
      </c>
      <c r="K5" s="2">
        <f t="shared" si="1"/>
        <v>0.97866666666666668</v>
      </c>
      <c r="L5" s="2">
        <f t="shared" si="1"/>
        <v>0.95466666666666666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B0A8-C883-4E62-A3C4-4FE64EF50087}">
  <dimension ref="A1:H10"/>
  <sheetViews>
    <sheetView workbookViewId="0">
      <selection sqref="A1:H8"/>
    </sheetView>
  </sheetViews>
  <sheetFormatPr defaultRowHeight="14" x14ac:dyDescent="0.3"/>
  <sheetData>
    <row r="1" spans="1:8" x14ac:dyDescent="0.3">
      <c r="A1" t="s">
        <v>28</v>
      </c>
      <c r="B1" s="1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s="1">
        <v>0</v>
      </c>
      <c r="B2" s="2">
        <v>1.0269999999999999</v>
      </c>
      <c r="C2" s="2">
        <v>1.0269999999999999</v>
      </c>
      <c r="D2" s="2">
        <v>1.0289999999999999</v>
      </c>
      <c r="E2" s="2">
        <v>1.0269999999999999</v>
      </c>
      <c r="F2" s="2">
        <v>1.028</v>
      </c>
      <c r="G2" s="2">
        <v>1.0269999999999999</v>
      </c>
      <c r="H2" s="2">
        <v>1.024</v>
      </c>
    </row>
    <row r="3" spans="1:8" x14ac:dyDescent="0.3">
      <c r="A3" t="s">
        <v>16</v>
      </c>
      <c r="B3" s="2">
        <v>1.03</v>
      </c>
      <c r="C3" s="2">
        <v>1.02</v>
      </c>
      <c r="D3" s="2">
        <v>1.0309999999999999</v>
      </c>
      <c r="E3" s="2">
        <v>1.03</v>
      </c>
      <c r="F3" s="2">
        <v>1.03</v>
      </c>
      <c r="G3" s="2">
        <v>1.0289999999999999</v>
      </c>
      <c r="H3" s="2">
        <v>1.0249999999999999</v>
      </c>
    </row>
    <row r="4" spans="1:8" x14ac:dyDescent="0.3">
      <c r="A4" t="s">
        <v>17</v>
      </c>
      <c r="B4" s="2">
        <v>1.028</v>
      </c>
      <c r="C4" s="2">
        <v>1.028</v>
      </c>
      <c r="D4" s="2">
        <v>1.0289999999999999</v>
      </c>
      <c r="E4" s="2">
        <v>1.0289999999999999</v>
      </c>
      <c r="F4" s="2">
        <v>1.02</v>
      </c>
      <c r="G4" s="2">
        <v>1.0289999999999999</v>
      </c>
      <c r="H4" s="2">
        <v>1.0249999999999999</v>
      </c>
    </row>
    <row r="5" spans="1:8" x14ac:dyDescent="0.3">
      <c r="A5" t="s">
        <v>18</v>
      </c>
      <c r="B5" s="2">
        <v>1.0269999999999999</v>
      </c>
      <c r="C5" s="2">
        <v>1.0269999999999999</v>
      </c>
      <c r="D5" s="2">
        <v>1.028</v>
      </c>
      <c r="E5" s="2">
        <v>1.028</v>
      </c>
      <c r="F5" s="2">
        <v>1.03</v>
      </c>
      <c r="G5" s="2">
        <v>1.0289999999999999</v>
      </c>
      <c r="H5" s="2">
        <v>1.028</v>
      </c>
    </row>
    <row r="6" spans="1:8" x14ac:dyDescent="0.3">
      <c r="A6" t="s">
        <v>19</v>
      </c>
      <c r="B6" s="2">
        <v>1.026</v>
      </c>
      <c r="C6" s="2">
        <v>1.028</v>
      </c>
      <c r="D6" s="2">
        <v>1.0289999999999999</v>
      </c>
      <c r="E6" s="2">
        <v>1.0309999999999999</v>
      </c>
      <c r="F6" s="2">
        <v>1.032</v>
      </c>
      <c r="G6" s="2">
        <v>1.0329999999999999</v>
      </c>
      <c r="H6" s="2">
        <v>1.0329999999999999</v>
      </c>
    </row>
    <row r="7" spans="1:8" x14ac:dyDescent="0.3">
      <c r="A7" t="s">
        <v>20</v>
      </c>
      <c r="B7" s="2">
        <v>1.0265</v>
      </c>
      <c r="C7" s="2">
        <v>1.0274999999999999</v>
      </c>
      <c r="D7" s="2">
        <v>1.028</v>
      </c>
      <c r="E7" s="2">
        <v>1.0299999999999998</v>
      </c>
      <c r="F7" s="2">
        <v>1.0325</v>
      </c>
      <c r="G7" s="2">
        <v>1.0350000000000001</v>
      </c>
      <c r="H7" s="2">
        <v>1.0365</v>
      </c>
    </row>
    <row r="8" spans="1:8" x14ac:dyDescent="0.3">
      <c r="A8" t="s">
        <v>21</v>
      </c>
      <c r="B8" s="2">
        <v>1.0249999999999999</v>
      </c>
      <c r="C8" s="2">
        <v>1.0249999999999999</v>
      </c>
      <c r="D8" s="2">
        <v>1.0269999999999999</v>
      </c>
      <c r="E8" s="2">
        <v>1.0289999999999999</v>
      </c>
      <c r="F8" s="2">
        <v>1.034</v>
      </c>
      <c r="G8" s="2">
        <v>1.0409999999999999</v>
      </c>
      <c r="H8" s="2">
        <v>1.0449999999999999</v>
      </c>
    </row>
    <row r="10" spans="1:8" x14ac:dyDescent="0.3">
      <c r="B10" s="2"/>
      <c r="C10" s="2"/>
      <c r="D10" s="2"/>
      <c r="E10" s="2"/>
      <c r="F10" s="2"/>
      <c r="G10" s="2"/>
      <c r="H10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925A-2C8C-4654-878F-DDA4F9377C66}">
  <dimension ref="A1:H11"/>
  <sheetViews>
    <sheetView workbookViewId="0">
      <selection activeCell="G7" sqref="G7:H11"/>
    </sheetView>
  </sheetViews>
  <sheetFormatPr defaultRowHeight="14" x14ac:dyDescent="0.3"/>
  <sheetData>
    <row r="1" spans="1:8" x14ac:dyDescent="0.3">
      <c r="A1" s="4" t="s">
        <v>22</v>
      </c>
      <c r="B1" s="4" t="s">
        <v>23</v>
      </c>
      <c r="C1" s="4"/>
      <c r="D1" s="4"/>
      <c r="E1" s="4"/>
    </row>
    <row r="2" spans="1:8" ht="31" x14ac:dyDescent="0.3">
      <c r="A2" s="4"/>
      <c r="B2" s="3" t="s">
        <v>24</v>
      </c>
      <c r="C2" s="3" t="s">
        <v>25</v>
      </c>
      <c r="D2" s="3" t="s">
        <v>26</v>
      </c>
      <c r="E2" s="3" t="s">
        <v>27</v>
      </c>
    </row>
    <row r="3" spans="1:8" x14ac:dyDescent="0.3">
      <c r="A3" s="3">
        <v>30</v>
      </c>
      <c r="B3" s="3">
        <v>0.16500000000000001</v>
      </c>
      <c r="C3" s="3">
        <v>-6.9000000000000006E-2</v>
      </c>
      <c r="D3" s="3">
        <f>(B3-C3)/2</f>
        <v>0.11700000000000001</v>
      </c>
      <c r="E3" s="3">
        <f>D3/0.25</f>
        <v>0.46800000000000003</v>
      </c>
    </row>
    <row r="7" spans="1:8" x14ac:dyDescent="0.3">
      <c r="G7" t="s">
        <v>32</v>
      </c>
      <c r="H7" t="s">
        <v>33</v>
      </c>
    </row>
    <row r="8" spans="1:8" x14ac:dyDescent="0.3">
      <c r="G8" t="s">
        <v>34</v>
      </c>
      <c r="H8">
        <v>0.152</v>
      </c>
    </row>
    <row r="9" spans="1:8" x14ac:dyDescent="0.3">
      <c r="G9">
        <v>40</v>
      </c>
      <c r="H9">
        <v>0.16400000000000001</v>
      </c>
    </row>
    <row r="10" spans="1:8" x14ac:dyDescent="0.3">
      <c r="G10">
        <v>30</v>
      </c>
      <c r="H10">
        <v>0.16500000000000001</v>
      </c>
    </row>
    <row r="11" spans="1:8" x14ac:dyDescent="0.3">
      <c r="G11">
        <v>20</v>
      </c>
      <c r="H11">
        <v>0.16400000000000001</v>
      </c>
    </row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AMR1</vt:lpstr>
      <vt:lpstr>AMR2</vt:lpstr>
      <vt:lpstr>Helmholtz1</vt:lpstr>
      <vt:lpstr>Helmholtz2</vt:lpstr>
      <vt:lpstr>earth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2025-07-17T14:04:06Z</dcterms:modified>
</cp:coreProperties>
</file>