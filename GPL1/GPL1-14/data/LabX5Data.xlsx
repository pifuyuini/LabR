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物理实验课程\基础物理实验I\LabX5 多普勒效应综合实验\"/>
    </mc:Choice>
  </mc:AlternateContent>
  <xr:revisionPtr revIDLastSave="0" documentId="13_ncr:1_{37560F28-9351-494B-9373-2D8DADA0E5DE}" xr6:coauthVersionLast="47" xr6:coauthVersionMax="47" xr10:uidLastSave="{00000000-0000-0000-0000-000000000000}"/>
  <bookViews>
    <workbookView xWindow="380" yWindow="380" windowWidth="20540" windowHeight="13780" xr2:uid="{00000000-000D-0000-FFFF-FFFF00000000}"/>
  </bookViews>
  <sheets>
    <sheet name="验证与测声速" sheetId="1" r:id="rId1"/>
    <sheet name="自由落体" sheetId="2" r:id="rId2"/>
    <sheet name="简谐振动" sheetId="3" r:id="rId3"/>
    <sheet name="牛二" sheetId="4" r:id="rId4"/>
    <sheet name="计算表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6" l="1"/>
  <c r="J16" i="6"/>
  <c r="J17" i="6"/>
  <c r="J14" i="6"/>
  <c r="A25" i="6"/>
  <c r="A24" i="6"/>
  <c r="B21" i="6"/>
  <c r="B20" i="6"/>
  <c r="A20" i="6"/>
  <c r="B7" i="3"/>
  <c r="A18" i="6"/>
  <c r="A17" i="6"/>
  <c r="C16" i="6"/>
  <c r="E16" i="6"/>
  <c r="A16" i="6"/>
  <c r="C9" i="6"/>
  <c r="B8" i="3"/>
  <c r="C7" i="6"/>
  <c r="C6" i="6"/>
  <c r="F4" i="6"/>
  <c r="F3" i="6"/>
  <c r="F2" i="6"/>
  <c r="F1" i="6"/>
  <c r="A3" i="6"/>
  <c r="A2" i="6"/>
  <c r="A1" i="6"/>
  <c r="G5" i="3"/>
  <c r="C2" i="3"/>
</calcChain>
</file>

<file path=xl/sharedStrings.xml><?xml version="1.0" encoding="utf-8"?>
<sst xmlns="http://schemas.openxmlformats.org/spreadsheetml/2006/main" count="64" uniqueCount="60">
  <si>
    <t>组1/序号i</t>
    <phoneticPr fontId="2" type="noConversion"/>
  </si>
  <si>
    <t>组2/序号i</t>
    <phoneticPr fontId="2" type="noConversion"/>
  </si>
  <si>
    <t>组3/序号i</t>
    <phoneticPr fontId="2" type="noConversion"/>
  </si>
  <si>
    <t>采样序号i</t>
  </si>
  <si>
    <t>测量组</t>
    <phoneticPr fontId="2" type="noConversion"/>
  </si>
  <si>
    <t>组1</t>
    <phoneticPr fontId="2" type="noConversion"/>
  </si>
  <si>
    <t>8/25ms</t>
    <phoneticPr fontId="2" type="noConversion"/>
  </si>
  <si>
    <t>$t_{1i}(ms)$</t>
    <phoneticPr fontId="2" type="noConversion"/>
  </si>
  <si>
    <t>$v_{1i}(m/s)$</t>
    <phoneticPr fontId="2" type="noConversion"/>
  </si>
  <si>
    <t>$f_{1i}(Hz)$</t>
    <phoneticPr fontId="2" type="noConversion"/>
  </si>
  <si>
    <t>$v_{2i}(m/s)$</t>
    <phoneticPr fontId="2" type="noConversion"/>
  </si>
  <si>
    <t>$f_{2i}(Hz)$</t>
    <phoneticPr fontId="2" type="noConversion"/>
  </si>
  <si>
    <t>$v_{3i}(m/s)$</t>
    <phoneticPr fontId="2" type="noConversion"/>
  </si>
  <si>
    <t>$f_{3i}(Hz)$</t>
    <phoneticPr fontId="2" type="noConversion"/>
  </si>
  <si>
    <t>组2</t>
    <phoneticPr fontId="2" type="noConversion"/>
  </si>
  <si>
    <t>组3</t>
    <phoneticPr fontId="2" type="noConversion"/>
  </si>
  <si>
    <t>组4</t>
    <phoneticPr fontId="2" type="noConversion"/>
  </si>
  <si>
    <t>$t_{2i}(ms)$</t>
    <phoneticPr fontId="2" type="noConversion"/>
  </si>
  <si>
    <t>$t_{3i}(ms)$</t>
    <phoneticPr fontId="2" type="noConversion"/>
  </si>
  <si>
    <t>$t_{4i}(ms)$</t>
    <phoneticPr fontId="2" type="noConversion"/>
  </si>
  <si>
    <t>$v_{4i}(m/s)$</t>
    <phoneticPr fontId="2" type="noConversion"/>
  </si>
  <si>
    <t>10/15ms</t>
    <phoneticPr fontId="2" type="noConversion"/>
  </si>
  <si>
    <t>10/25ms</t>
    <phoneticPr fontId="2" type="noConversion"/>
  </si>
  <si>
    <t>8/20ms</t>
    <phoneticPr fontId="2" type="noConversion"/>
  </si>
  <si>
    <t>弹簧原长$l_0(cm)$</t>
    <phoneticPr fontId="2" type="noConversion"/>
  </si>
  <si>
    <t>$伸长长度l(cm)$</t>
    <phoneticPr fontId="2" type="noConversion"/>
  </si>
  <si>
    <t>伸长量$Delta l(cm)$</t>
    <phoneticPr fontId="2" type="noConversion"/>
  </si>
  <si>
    <t>重物测量序号</t>
    <phoneticPr fontId="2" type="noConversion"/>
  </si>
  <si>
    <t>重物质量/g</t>
    <phoneticPr fontId="2" type="noConversion"/>
  </si>
  <si>
    <t>劲度系数(N/m)</t>
    <phoneticPr fontId="2" type="noConversion"/>
  </si>
  <si>
    <t>均值</t>
    <phoneticPr fontId="2" type="noConversion"/>
  </si>
  <si>
    <t>若用实验2中测得的g</t>
    <phoneticPr fontId="2" type="noConversion"/>
  </si>
  <si>
    <t>$t_i(s)$</t>
    <phoneticPr fontId="2" type="noConversion"/>
  </si>
  <si>
    <t>$(M_1=68.79g)v_{1i}(m/s)$</t>
    <phoneticPr fontId="2" type="noConversion"/>
  </si>
  <si>
    <t>$(M_2=56.04g)v_{2i}(m/s)$</t>
    <phoneticPr fontId="2" type="noConversion"/>
  </si>
  <si>
    <t>$(M_3=80.23g)v_{3i}(m/s)$</t>
    <phoneticPr fontId="2" type="noConversion"/>
  </si>
  <si>
    <t>$(M_4=57.14g)v_{4i}(m/s)$</t>
    <phoneticPr fontId="2" type="noConversion"/>
  </si>
  <si>
    <t>$g=9.7833(m/s^2)$</t>
    <phoneticPr fontId="2" type="noConversion"/>
  </si>
  <si>
    <t>$g=9.7698(m/s^2)$</t>
    <phoneticPr fontId="2" type="noConversion"/>
  </si>
  <si>
    <t>N1</t>
  </si>
  <si>
    <t>N1</t>
    <phoneticPr fontId="2" type="noConversion"/>
  </si>
  <si>
    <t>N11</t>
  </si>
  <si>
    <t>N11</t>
    <phoneticPr fontId="2" type="noConversion"/>
  </si>
  <si>
    <t>N2</t>
  </si>
  <si>
    <t>N2</t>
    <phoneticPr fontId="2" type="noConversion"/>
  </si>
  <si>
    <t>N12</t>
  </si>
  <si>
    <t>N12</t>
    <phoneticPr fontId="2" type="noConversion"/>
  </si>
  <si>
    <t>N3</t>
  </si>
  <si>
    <t>N3</t>
    <phoneticPr fontId="2" type="noConversion"/>
  </si>
  <si>
    <t>N13</t>
  </si>
  <si>
    <t>N13</t>
    <phoneticPr fontId="2" type="noConversion"/>
  </si>
  <si>
    <t>组件质量/g</t>
    <phoneticPr fontId="2" type="noConversion"/>
  </si>
  <si>
    <t>弹簧质量/g</t>
    <phoneticPr fontId="2" type="noConversion"/>
  </si>
  <si>
    <t>0.60143 ± 0.01637</t>
    <phoneticPr fontId="2" type="noConversion"/>
  </si>
  <si>
    <t>$a(m/s^2)$</t>
    <phoneticPr fontId="2" type="noConversion"/>
  </si>
  <si>
    <t>0.53143 ± 0.02313</t>
    <phoneticPr fontId="2" type="noConversion"/>
  </si>
  <si>
    <t>0.91929 ± 0.0197</t>
    <phoneticPr fontId="2" type="noConversion"/>
  </si>
  <si>
    <t>系数</t>
    <phoneticPr fontId="2" type="noConversion"/>
  </si>
  <si>
    <t>$m(g)$</t>
    <phoneticPr fontId="2" type="noConversion"/>
  </si>
  <si>
    <t>1.72571 ± 0.02675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</si>
</sst>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"/>
    <numFmt numFmtId="178" formatCode="0.0000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176" fontId="0" fillId="0" borderId="0" xfId="0" applyNumberFormat="1"/>
    <xf numFmtId="2" fontId="0" fillId="0" borderId="0" xfId="0" applyNumberFormat="1"/>
    <xf numFmtId="177" fontId="0" fillId="0" borderId="0" xfId="0" applyNumberFormat="1"/>
    <xf numFmtId="0" fontId="0" fillId="2" borderId="0" xfId="0" applyFill="1"/>
    <xf numFmtId="10" fontId="0" fillId="2" borderId="0" xfId="1" applyNumberFormat="1" applyFont="1" applyFill="1" applyAlignment="1"/>
    <xf numFmtId="0" fontId="0" fillId="3" borderId="0" xfId="0" applyFill="1"/>
    <xf numFmtId="10" fontId="0" fillId="3" borderId="0" xfId="1" applyNumberFormat="1" applyFont="1" applyFill="1" applyAlignment="1"/>
    <xf numFmtId="0" fontId="0" fillId="4" borderId="0" xfId="0" applyFill="1"/>
    <xf numFmtId="2" fontId="0" fillId="4" borderId="0" xfId="0" applyNumberFormat="1" applyFill="1"/>
    <xf numFmtId="176" fontId="0" fillId="4" borderId="0" xfId="0" applyNumberFormat="1" applyFill="1"/>
    <xf numFmtId="178" fontId="0" fillId="4" borderId="0" xfId="0" applyNumberFormat="1" applyFill="1"/>
    <xf numFmtId="10" fontId="0" fillId="4" borderId="0" xfId="1" applyNumberFormat="1" applyFont="1" applyFill="1" applyAlignment="1"/>
    <xf numFmtId="0" fontId="0" fillId="5" borderId="0" xfId="0" applyFill="1"/>
    <xf numFmtId="178" fontId="0" fillId="5" borderId="0" xfId="0" applyNumberFormat="1" applyFill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4" sqref="A4:F9"/>
    </sheetView>
  </sheetViews>
  <sheetFormatPr defaultRowHeight="14" x14ac:dyDescent="0.3"/>
  <sheetData>
    <row r="1" spans="1:6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3">
      <c r="A2" t="s">
        <v>8</v>
      </c>
      <c r="B2" s="2">
        <v>1.26</v>
      </c>
      <c r="C2" s="2">
        <v>1.08</v>
      </c>
      <c r="D2" s="2">
        <v>1</v>
      </c>
      <c r="E2" s="2">
        <v>0.75</v>
      </c>
      <c r="F2" s="2">
        <v>0.38</v>
      </c>
    </row>
    <row r="3" spans="1:6" x14ac:dyDescent="0.3">
      <c r="A3" t="s">
        <v>9</v>
      </c>
      <c r="B3">
        <v>40073</v>
      </c>
      <c r="C3">
        <v>40127</v>
      </c>
      <c r="D3">
        <v>40105</v>
      </c>
      <c r="E3">
        <v>40088</v>
      </c>
      <c r="F3">
        <v>40066</v>
      </c>
    </row>
    <row r="4" spans="1:6" x14ac:dyDescent="0.3">
      <c r="A4" t="s">
        <v>1</v>
      </c>
      <c r="B4">
        <v>1</v>
      </c>
      <c r="C4">
        <v>2</v>
      </c>
      <c r="D4">
        <v>3</v>
      </c>
      <c r="E4">
        <v>4</v>
      </c>
      <c r="F4">
        <v>5</v>
      </c>
    </row>
    <row r="5" spans="1:6" x14ac:dyDescent="0.3">
      <c r="A5" t="s">
        <v>10</v>
      </c>
      <c r="B5">
        <v>1.21</v>
      </c>
      <c r="C5">
        <v>1.06</v>
      </c>
      <c r="D5">
        <v>0.99</v>
      </c>
      <c r="E5">
        <v>0.52</v>
      </c>
      <c r="F5">
        <v>0.56999999999999995</v>
      </c>
    </row>
    <row r="6" spans="1:6" x14ac:dyDescent="0.3">
      <c r="A6" t="s">
        <v>11</v>
      </c>
      <c r="B6">
        <v>40143</v>
      </c>
      <c r="C6">
        <v>40125</v>
      </c>
      <c r="D6">
        <v>40084</v>
      </c>
      <c r="E6">
        <v>40080</v>
      </c>
      <c r="F6">
        <v>40067</v>
      </c>
    </row>
    <row r="7" spans="1:6" x14ac:dyDescent="0.3">
      <c r="A7" t="s">
        <v>2</v>
      </c>
      <c r="B7">
        <v>1</v>
      </c>
      <c r="C7">
        <v>2</v>
      </c>
      <c r="D7">
        <v>3</v>
      </c>
      <c r="E7">
        <v>4</v>
      </c>
      <c r="F7">
        <v>5</v>
      </c>
    </row>
    <row r="8" spans="1:6" x14ac:dyDescent="0.3">
      <c r="A8" t="s">
        <v>12</v>
      </c>
      <c r="B8">
        <v>1.1499999999999999</v>
      </c>
      <c r="C8">
        <v>0.98</v>
      </c>
      <c r="D8">
        <v>0.78</v>
      </c>
      <c r="E8">
        <v>0.59</v>
      </c>
      <c r="F8">
        <v>0.36</v>
      </c>
    </row>
    <row r="9" spans="1:6" x14ac:dyDescent="0.3">
      <c r="A9" t="s">
        <v>13</v>
      </c>
      <c r="B9">
        <v>40135</v>
      </c>
      <c r="C9">
        <v>40115</v>
      </c>
      <c r="D9">
        <v>40092</v>
      </c>
      <c r="E9">
        <v>40070</v>
      </c>
      <c r="F9">
        <v>40044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94DA-6EDC-4547-BDEA-203893465DB0}">
  <dimension ref="A1:O9"/>
  <sheetViews>
    <sheetView workbookViewId="0">
      <selection sqref="A1:L9"/>
    </sheetView>
  </sheetViews>
  <sheetFormatPr defaultRowHeight="14" x14ac:dyDescent="0.3"/>
  <sheetData>
    <row r="1" spans="1:15" x14ac:dyDescent="0.3">
      <c r="A1" t="s">
        <v>4</v>
      </c>
      <c r="B1" t="s">
        <v>3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3">
      <c r="A2" t="s">
        <v>5</v>
      </c>
      <c r="B2" t="s">
        <v>7</v>
      </c>
      <c r="C2" s="1">
        <v>2.5000000000000001E-2</v>
      </c>
      <c r="D2" s="1">
        <v>0.05</v>
      </c>
      <c r="E2" s="1">
        <v>7.4999999999999997E-2</v>
      </c>
      <c r="F2" s="1">
        <v>0.1</v>
      </c>
      <c r="G2" s="1">
        <v>0.125</v>
      </c>
      <c r="H2" s="1">
        <v>0.15</v>
      </c>
      <c r="I2" s="1">
        <v>0.17499999999999999</v>
      </c>
      <c r="J2" s="1">
        <v>0.2</v>
      </c>
    </row>
    <row r="3" spans="1:15" x14ac:dyDescent="0.3">
      <c r="A3" t="s">
        <v>6</v>
      </c>
      <c r="B3" t="s">
        <v>8</v>
      </c>
      <c r="C3" s="2">
        <v>0.16</v>
      </c>
      <c r="D3" s="2">
        <v>0.4</v>
      </c>
      <c r="E3" s="2">
        <v>0.65</v>
      </c>
      <c r="F3" s="2">
        <v>0.89</v>
      </c>
      <c r="G3" s="2">
        <v>1.17</v>
      </c>
      <c r="H3" s="2">
        <v>1.4</v>
      </c>
      <c r="I3" s="2">
        <v>1.64</v>
      </c>
      <c r="J3" s="2">
        <v>1.89</v>
      </c>
    </row>
    <row r="4" spans="1:15" x14ac:dyDescent="0.3">
      <c r="A4" t="s">
        <v>14</v>
      </c>
      <c r="B4" t="s">
        <v>17</v>
      </c>
      <c r="C4" s="1">
        <v>1.4999999999999999E-2</v>
      </c>
      <c r="D4" s="1">
        <v>0.03</v>
      </c>
      <c r="E4" s="1">
        <v>4.4999999999999998E-2</v>
      </c>
      <c r="F4" s="1">
        <v>0.06</v>
      </c>
      <c r="G4" s="1">
        <v>7.4999999999999997E-2</v>
      </c>
      <c r="H4" s="1">
        <v>0.09</v>
      </c>
      <c r="I4" s="1">
        <v>0.105</v>
      </c>
      <c r="J4" s="1">
        <v>0.12</v>
      </c>
      <c r="K4" s="1">
        <v>0.13500000000000001</v>
      </c>
      <c r="L4" s="1">
        <v>0.15</v>
      </c>
    </row>
    <row r="5" spans="1:15" x14ac:dyDescent="0.3">
      <c r="A5" t="s">
        <v>21</v>
      </c>
      <c r="B5" t="s">
        <v>10</v>
      </c>
      <c r="C5" s="2">
        <v>0.16</v>
      </c>
      <c r="D5" s="2">
        <v>0.35</v>
      </c>
      <c r="E5" s="2">
        <v>0.47</v>
      </c>
      <c r="F5" s="2">
        <v>0.61</v>
      </c>
      <c r="G5" s="2">
        <v>0.77</v>
      </c>
      <c r="H5" s="2">
        <v>0.91</v>
      </c>
      <c r="I5" s="2">
        <v>1.05</v>
      </c>
      <c r="J5" s="2">
        <v>1.17</v>
      </c>
      <c r="K5" s="2">
        <v>1.31</v>
      </c>
      <c r="L5" s="2">
        <v>1.48</v>
      </c>
    </row>
    <row r="6" spans="1:15" x14ac:dyDescent="0.3">
      <c r="A6" t="s">
        <v>15</v>
      </c>
      <c r="B6" t="s">
        <v>18</v>
      </c>
      <c r="C6" s="1">
        <v>2.5000000000000001E-2</v>
      </c>
      <c r="D6" s="1">
        <v>0.05</v>
      </c>
      <c r="E6" s="1">
        <v>7.4999999999999997E-2</v>
      </c>
      <c r="F6" s="1">
        <v>0.1</v>
      </c>
      <c r="G6" s="1">
        <v>0.125</v>
      </c>
      <c r="H6" s="1">
        <v>0.15</v>
      </c>
      <c r="I6" s="1">
        <v>0.17499999999999999</v>
      </c>
      <c r="J6" s="1">
        <v>0.2</v>
      </c>
      <c r="K6" s="1">
        <v>0.22500000000000001</v>
      </c>
      <c r="L6" s="1">
        <v>0.25</v>
      </c>
    </row>
    <row r="7" spans="1:15" x14ac:dyDescent="0.3">
      <c r="A7" t="s">
        <v>22</v>
      </c>
      <c r="B7" t="s">
        <v>12</v>
      </c>
      <c r="C7" s="2">
        <v>0.16</v>
      </c>
      <c r="D7" s="2">
        <v>0.4</v>
      </c>
      <c r="E7" s="2">
        <v>0.65</v>
      </c>
      <c r="F7" s="2">
        <v>0.91</v>
      </c>
      <c r="G7" s="2">
        <v>1.17</v>
      </c>
      <c r="H7" s="2">
        <v>1.41</v>
      </c>
      <c r="I7" s="2">
        <v>1.62</v>
      </c>
      <c r="J7" s="2">
        <v>1.85</v>
      </c>
      <c r="K7" s="2">
        <v>2.13</v>
      </c>
      <c r="L7" s="2">
        <v>2.36</v>
      </c>
    </row>
    <row r="8" spans="1:15" x14ac:dyDescent="0.3">
      <c r="A8" t="s">
        <v>16</v>
      </c>
      <c r="B8" t="s">
        <v>19</v>
      </c>
      <c r="C8" s="1">
        <v>0.02</v>
      </c>
      <c r="D8" s="1">
        <v>0.04</v>
      </c>
      <c r="E8" s="1">
        <v>0.06</v>
      </c>
      <c r="F8" s="1">
        <v>0.08</v>
      </c>
      <c r="G8" s="1">
        <v>0.1</v>
      </c>
      <c r="H8" s="1">
        <v>0.12</v>
      </c>
      <c r="I8" s="1">
        <v>0.14000000000000001</v>
      </c>
      <c r="J8" s="1">
        <v>0.16</v>
      </c>
    </row>
    <row r="9" spans="1:15" x14ac:dyDescent="0.3">
      <c r="A9" t="s">
        <v>23</v>
      </c>
      <c r="B9" t="s">
        <v>20</v>
      </c>
      <c r="C9" s="2">
        <v>0.18</v>
      </c>
      <c r="D9" s="2">
        <v>0.37</v>
      </c>
      <c r="E9" s="2">
        <v>0.54</v>
      </c>
      <c r="F9" s="2">
        <v>0.74</v>
      </c>
      <c r="G9" s="2">
        <v>0.94</v>
      </c>
      <c r="H9" s="2">
        <v>1.1499999999999999</v>
      </c>
      <c r="I9" s="2">
        <v>1.31</v>
      </c>
      <c r="J9" s="2">
        <v>1.52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AE92-E65F-4034-9B66-78DBF0119EAE}">
  <dimension ref="A1:H11"/>
  <sheetViews>
    <sheetView workbookViewId="0">
      <selection activeCell="B11" sqref="B11"/>
    </sheetView>
  </sheetViews>
  <sheetFormatPr defaultRowHeight="14" x14ac:dyDescent="0.3"/>
  <sheetData>
    <row r="1" spans="1:8" x14ac:dyDescent="0.3">
      <c r="A1" t="s">
        <v>24</v>
      </c>
      <c r="B1" t="s">
        <v>25</v>
      </c>
      <c r="C1" t="s">
        <v>26</v>
      </c>
    </row>
    <row r="2" spans="1:8" x14ac:dyDescent="0.3">
      <c r="A2">
        <v>11.5</v>
      </c>
      <c r="B2">
        <v>28.5</v>
      </c>
      <c r="C2" s="3">
        <f>B2-A2</f>
        <v>17</v>
      </c>
    </row>
    <row r="4" spans="1:8" x14ac:dyDescent="0.3">
      <c r="A4" t="s">
        <v>27</v>
      </c>
      <c r="B4">
        <v>1</v>
      </c>
      <c r="C4">
        <v>2</v>
      </c>
      <c r="D4">
        <v>3</v>
      </c>
      <c r="E4">
        <v>4</v>
      </c>
      <c r="F4">
        <v>5</v>
      </c>
      <c r="G4" t="s">
        <v>30</v>
      </c>
    </row>
    <row r="5" spans="1:8" x14ac:dyDescent="0.3">
      <c r="A5" t="s">
        <v>28</v>
      </c>
      <c r="B5">
        <v>44.31</v>
      </c>
      <c r="C5">
        <v>44.31</v>
      </c>
      <c r="D5">
        <v>44.32</v>
      </c>
      <c r="E5">
        <v>44.32</v>
      </c>
      <c r="F5">
        <v>44.32</v>
      </c>
      <c r="G5" s="2">
        <f>AVERAGE(B5:F5)</f>
        <v>44.315999999999995</v>
      </c>
    </row>
    <row r="7" spans="1:8" x14ac:dyDescent="0.3">
      <c r="A7" t="s">
        <v>29</v>
      </c>
      <c r="B7" s="1">
        <f>G5*0.001*9.7833/(C2*0.01)</f>
        <v>2.5503336635294112</v>
      </c>
      <c r="C7" t="s">
        <v>37</v>
      </c>
    </row>
    <row r="8" spans="1:8" x14ac:dyDescent="0.3">
      <c r="A8" t="s">
        <v>31</v>
      </c>
      <c r="B8" s="1">
        <f>G5*0.001*9.7698/(C2*0.01)</f>
        <v>2.5468144517647056</v>
      </c>
      <c r="C8" t="s">
        <v>38</v>
      </c>
    </row>
    <row r="10" spans="1:8" x14ac:dyDescent="0.3">
      <c r="A10" t="s">
        <v>51</v>
      </c>
      <c r="B10" t="s">
        <v>52</v>
      </c>
      <c r="C10" t="s">
        <v>40</v>
      </c>
      <c r="D10" t="s">
        <v>42</v>
      </c>
      <c r="E10" t="s">
        <v>44</v>
      </c>
      <c r="F10" t="s">
        <v>46</v>
      </c>
      <c r="G10" t="s">
        <v>48</v>
      </c>
      <c r="H10" t="s">
        <v>50</v>
      </c>
    </row>
    <row r="11" spans="1:8" x14ac:dyDescent="0.3">
      <c r="A11">
        <v>102.24</v>
      </c>
      <c r="B11">
        <v>10.38</v>
      </c>
      <c r="C11">
        <v>8</v>
      </c>
      <c r="D11">
        <v>111</v>
      </c>
      <c r="E11">
        <v>20</v>
      </c>
      <c r="F11">
        <v>122</v>
      </c>
      <c r="G11">
        <v>31</v>
      </c>
      <c r="H11">
        <v>133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03E7-6298-4A29-A10C-B280AF9B0F02}">
  <dimension ref="A1:P6"/>
  <sheetViews>
    <sheetView workbookViewId="0">
      <selection sqref="A1:P6"/>
    </sheetView>
  </sheetViews>
  <sheetFormatPr defaultRowHeight="14" x14ac:dyDescent="0.3"/>
  <sheetData>
    <row r="1" spans="1:16" x14ac:dyDescent="0.3">
      <c r="A1" t="s">
        <v>3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</row>
    <row r="2" spans="1:16" x14ac:dyDescent="0.3">
      <c r="A2" t="s">
        <v>32</v>
      </c>
      <c r="B2">
        <v>0.05</v>
      </c>
      <c r="C2">
        <v>0.1</v>
      </c>
      <c r="D2">
        <v>0.15</v>
      </c>
      <c r="E2">
        <v>0.2</v>
      </c>
      <c r="F2">
        <v>0.25</v>
      </c>
      <c r="G2">
        <v>0.3</v>
      </c>
      <c r="H2">
        <v>0.35</v>
      </c>
      <c r="I2">
        <v>0.4</v>
      </c>
      <c r="J2">
        <v>0.45</v>
      </c>
      <c r="K2">
        <v>0.5</v>
      </c>
      <c r="L2">
        <v>0.55000000000000004</v>
      </c>
      <c r="M2">
        <v>0.6</v>
      </c>
      <c r="N2">
        <v>0.65</v>
      </c>
      <c r="O2">
        <v>0.7</v>
      </c>
      <c r="P2">
        <v>0.75</v>
      </c>
    </row>
    <row r="3" spans="1:16" x14ac:dyDescent="0.3">
      <c r="A3" t="s">
        <v>33</v>
      </c>
      <c r="B3">
        <v>0</v>
      </c>
      <c r="C3">
        <v>0.02</v>
      </c>
      <c r="D3">
        <v>0.04</v>
      </c>
      <c r="E3">
        <v>7.0000000000000007E-2</v>
      </c>
      <c r="F3">
        <v>0.11</v>
      </c>
      <c r="G3">
        <v>0.14000000000000001</v>
      </c>
      <c r="H3">
        <v>0.16</v>
      </c>
      <c r="I3">
        <v>0.21</v>
      </c>
      <c r="J3">
        <v>0.25</v>
      </c>
      <c r="K3">
        <v>0.27</v>
      </c>
      <c r="L3">
        <v>0.3</v>
      </c>
      <c r="M3">
        <v>0.35</v>
      </c>
      <c r="N3">
        <v>0.35</v>
      </c>
      <c r="O3">
        <v>0.37</v>
      </c>
      <c r="P3">
        <v>0.39</v>
      </c>
    </row>
    <row r="4" spans="1:16" x14ac:dyDescent="0.3">
      <c r="A4" t="s">
        <v>34</v>
      </c>
      <c r="B4">
        <v>0</v>
      </c>
      <c r="C4">
        <v>0.06</v>
      </c>
      <c r="D4">
        <v>7.0000000000000007E-2</v>
      </c>
      <c r="E4">
        <v>0.11</v>
      </c>
      <c r="F4">
        <v>0.13</v>
      </c>
      <c r="G4">
        <v>0.13</v>
      </c>
      <c r="H4">
        <v>0.16</v>
      </c>
      <c r="I4">
        <v>0.18</v>
      </c>
      <c r="J4">
        <v>0.2</v>
      </c>
      <c r="K4">
        <v>0.23</v>
      </c>
      <c r="L4">
        <v>0.27</v>
      </c>
      <c r="M4">
        <v>0.28000000000000003</v>
      </c>
      <c r="N4">
        <v>0.33</v>
      </c>
      <c r="O4">
        <v>0.37</v>
      </c>
      <c r="P4">
        <v>0.42</v>
      </c>
    </row>
    <row r="5" spans="1:16" x14ac:dyDescent="0.3">
      <c r="A5" t="s">
        <v>35</v>
      </c>
      <c r="B5">
        <v>0.02</v>
      </c>
      <c r="C5">
        <v>0.06</v>
      </c>
      <c r="D5">
        <v>0.11</v>
      </c>
      <c r="E5">
        <v>0.13</v>
      </c>
      <c r="F5">
        <v>0.16</v>
      </c>
      <c r="G5">
        <v>0.21</v>
      </c>
      <c r="H5">
        <v>0.25</v>
      </c>
      <c r="I5">
        <v>0.32</v>
      </c>
      <c r="J5">
        <v>0.37</v>
      </c>
      <c r="K5">
        <v>0.42</v>
      </c>
      <c r="L5">
        <v>0.47</v>
      </c>
      <c r="M5">
        <v>0.53</v>
      </c>
      <c r="N5">
        <v>0.54</v>
      </c>
      <c r="O5">
        <v>0.6</v>
      </c>
      <c r="P5">
        <v>0.65</v>
      </c>
    </row>
    <row r="6" spans="1:16" x14ac:dyDescent="0.3">
      <c r="A6" t="s">
        <v>36</v>
      </c>
      <c r="B6">
        <v>0.06</v>
      </c>
      <c r="C6">
        <v>0.13</v>
      </c>
      <c r="D6">
        <v>0.21</v>
      </c>
      <c r="E6">
        <v>0.28000000000000003</v>
      </c>
      <c r="F6">
        <v>0.39</v>
      </c>
      <c r="G6">
        <v>0.47</v>
      </c>
      <c r="H6">
        <v>0.57999999999999996</v>
      </c>
      <c r="I6">
        <v>0.68</v>
      </c>
      <c r="J6">
        <v>0.79</v>
      </c>
      <c r="K6">
        <v>0.86</v>
      </c>
      <c r="L6">
        <v>0.91</v>
      </c>
      <c r="M6">
        <v>1</v>
      </c>
      <c r="N6">
        <v>1.08</v>
      </c>
      <c r="O6">
        <v>1.1499999999999999</v>
      </c>
      <c r="P6">
        <v>1.24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269E7-B1FE-4B62-AAC8-F46A4EAF99AB}">
  <dimension ref="A1:L25"/>
  <sheetViews>
    <sheetView workbookViewId="0">
      <selection activeCell="M6" sqref="M6"/>
    </sheetView>
  </sheetViews>
  <sheetFormatPr defaultRowHeight="14" x14ac:dyDescent="0.3"/>
  <sheetData>
    <row r="1" spans="1:12" x14ac:dyDescent="0.3">
      <c r="A1" s="4">
        <f>40002/115.19</f>
        <v>347.26972827502391</v>
      </c>
      <c r="C1" s="6">
        <v>9.9238099999999996</v>
      </c>
      <c r="D1" s="6"/>
      <c r="E1" s="6">
        <v>6.4119999999999996E-2</v>
      </c>
      <c r="F1" s="6">
        <f>1/E1^2</f>
        <v>243.22766615465625</v>
      </c>
    </row>
    <row r="2" spans="1:12" x14ac:dyDescent="0.3">
      <c r="A2" s="4">
        <f>331.4+17*0.6</f>
        <v>341.59999999999997</v>
      </c>
      <c r="C2" s="6">
        <v>9.51919</v>
      </c>
      <c r="D2" s="6"/>
      <c r="E2" s="6">
        <v>0.11945</v>
      </c>
      <c r="F2" s="6">
        <f>1/E2^2</f>
        <v>70.085421864303754</v>
      </c>
    </row>
    <row r="3" spans="1:12" x14ac:dyDescent="0.3">
      <c r="A3" s="5">
        <f>(A1-A2)/A2</f>
        <v>1.6597565207915523E-2</v>
      </c>
      <c r="C3" s="6">
        <v>9.7648499999999991</v>
      </c>
      <c r="D3" s="6"/>
      <c r="E3" s="6">
        <v>7.689E-2</v>
      </c>
      <c r="F3" s="6">
        <f>1/E3^2</f>
        <v>169.14543379807566</v>
      </c>
    </row>
    <row r="4" spans="1:12" x14ac:dyDescent="0.3">
      <c r="C4" s="6">
        <v>9.5892900000000001</v>
      </c>
      <c r="D4" s="6"/>
      <c r="E4" s="6">
        <v>9.7259999999999999E-2</v>
      </c>
      <c r="F4" s="6">
        <f>1/E4^2</f>
        <v>105.71374772192159</v>
      </c>
    </row>
    <row r="5" spans="1:12" x14ac:dyDescent="0.3">
      <c r="C5" s="6"/>
      <c r="D5" s="6"/>
      <c r="E5" s="6"/>
      <c r="F5" s="6"/>
    </row>
    <row r="6" spans="1:12" x14ac:dyDescent="0.3">
      <c r="C6" s="6">
        <f>(C1*F1+C2*F2+C3*F3+C4*F4)/(F1+F2+F3+F4)</f>
        <v>9.7697587311255969</v>
      </c>
      <c r="D6" s="6"/>
      <c r="E6" s="6"/>
      <c r="F6" s="6"/>
    </row>
    <row r="7" spans="1:12" x14ac:dyDescent="0.3">
      <c r="C7" s="6">
        <f>SQRT(1/(F1+F2+F3+F4))</f>
        <v>4.1233265218139345E-2</v>
      </c>
      <c r="D7" s="6"/>
      <c r="E7" s="6"/>
      <c r="F7" s="6"/>
    </row>
    <row r="8" spans="1:12" x14ac:dyDescent="0.3">
      <c r="C8" s="6">
        <v>9.7833000000000006</v>
      </c>
      <c r="D8" s="6"/>
      <c r="E8" s="6"/>
      <c r="F8" s="6"/>
      <c r="H8" s="13"/>
      <c r="I8" s="13" t="s">
        <v>53</v>
      </c>
      <c r="J8" s="13"/>
      <c r="K8" s="13"/>
      <c r="L8" s="13"/>
    </row>
    <row r="9" spans="1:12" x14ac:dyDescent="0.3">
      <c r="C9" s="7">
        <f>(C6-C8)/C8</f>
        <v>-1.384120784848022E-3</v>
      </c>
      <c r="D9" s="6"/>
      <c r="E9" s="6"/>
      <c r="F9" s="6"/>
      <c r="H9" s="13"/>
      <c r="I9" s="13" t="s">
        <v>55</v>
      </c>
      <c r="J9" s="13"/>
      <c r="K9" s="13"/>
      <c r="L9" s="13"/>
    </row>
    <row r="10" spans="1:12" x14ac:dyDescent="0.3">
      <c r="H10" s="13"/>
      <c r="I10" s="13" t="s">
        <v>56</v>
      </c>
      <c r="J10" s="13"/>
      <c r="K10" s="13"/>
      <c r="L10" s="13"/>
    </row>
    <row r="11" spans="1:12" x14ac:dyDescent="0.3">
      <c r="H11" s="13"/>
      <c r="I11" s="13" t="s">
        <v>59</v>
      </c>
      <c r="J11" s="13"/>
      <c r="K11" s="13"/>
      <c r="L11" s="13"/>
    </row>
    <row r="12" spans="1:12" x14ac:dyDescent="0.3">
      <c r="H12" s="13"/>
      <c r="I12" s="13"/>
      <c r="J12" s="13"/>
      <c r="K12" s="13"/>
      <c r="L12" s="13"/>
    </row>
    <row r="13" spans="1:12" x14ac:dyDescent="0.3">
      <c r="A13" s="8" t="s">
        <v>39</v>
      </c>
      <c r="B13" s="8" t="s">
        <v>41</v>
      </c>
      <c r="C13" s="8" t="s">
        <v>43</v>
      </c>
      <c r="D13" s="8" t="s">
        <v>45</v>
      </c>
      <c r="E13" s="8" t="s">
        <v>47</v>
      </c>
      <c r="F13" s="8" t="s">
        <v>49</v>
      </c>
      <c r="H13" s="13" t="s">
        <v>58</v>
      </c>
      <c r="I13" s="13" t="s">
        <v>54</v>
      </c>
      <c r="J13" s="13" t="s">
        <v>57</v>
      </c>
      <c r="K13" s="13"/>
      <c r="L13" s="13">
        <v>102.24</v>
      </c>
    </row>
    <row r="14" spans="1:12" x14ac:dyDescent="0.3">
      <c r="A14" s="8">
        <v>8</v>
      </c>
      <c r="B14" s="8">
        <v>111</v>
      </c>
      <c r="C14" s="8">
        <v>20</v>
      </c>
      <c r="D14" s="8">
        <v>122</v>
      </c>
      <c r="E14" s="8">
        <v>31</v>
      </c>
      <c r="F14" s="8">
        <v>133</v>
      </c>
      <c r="H14" s="13">
        <v>68.790000000000006</v>
      </c>
      <c r="I14" s="14">
        <v>1.20143</v>
      </c>
      <c r="J14" s="13">
        <f>((1-0.07)*102.24-H14)/((1-0.07)*102.24+H14+14)</f>
        <v>0.14781990766456096</v>
      </c>
      <c r="K14" s="13"/>
      <c r="L14" s="13">
        <v>7.0000000000000007E-2</v>
      </c>
    </row>
    <row r="15" spans="1:12" x14ac:dyDescent="0.3">
      <c r="A15" s="8"/>
      <c r="B15" s="8"/>
      <c r="C15" s="8"/>
      <c r="D15" s="8"/>
      <c r="E15" s="8"/>
      <c r="F15" s="8"/>
      <c r="H15" s="13">
        <v>57.14</v>
      </c>
      <c r="I15" s="14">
        <v>1.7257</v>
      </c>
      <c r="J15" s="13">
        <f t="shared" ref="J15:J17" si="0">((1-0.07)*102.24-H15)/((1-0.07)*102.24+H15+14)</f>
        <v>0.22826657169396325</v>
      </c>
      <c r="K15" s="13"/>
      <c r="L15" s="13">
        <v>1.4E-2</v>
      </c>
    </row>
    <row r="16" spans="1:12" x14ac:dyDescent="0.3">
      <c r="A16" s="8">
        <f>(B14-A14)*0.1/10</f>
        <v>1.03</v>
      </c>
      <c r="B16" s="8"/>
      <c r="C16" s="8">
        <f t="shared" ref="C16:E16" si="1">(D14-C14)*0.1/10</f>
        <v>1.02</v>
      </c>
      <c r="D16" s="8"/>
      <c r="E16" s="8">
        <f t="shared" si="1"/>
        <v>1.02</v>
      </c>
      <c r="F16" s="8"/>
      <c r="H16" s="13">
        <v>80.23</v>
      </c>
      <c r="I16" s="14">
        <v>0.91929000000000005</v>
      </c>
      <c r="J16" s="13">
        <f t="shared" si="0"/>
        <v>7.8458343105499179E-2</v>
      </c>
      <c r="K16" s="13"/>
      <c r="L16" s="13"/>
    </row>
    <row r="17" spans="1:12" x14ac:dyDescent="0.3">
      <c r="A17" s="9">
        <f>(A16+C16+E16)/3</f>
        <v>1.0233333333333332</v>
      </c>
      <c r="B17" s="8"/>
      <c r="C17" s="8"/>
      <c r="D17" s="8"/>
      <c r="E17" s="8"/>
      <c r="F17" s="8"/>
      <c r="H17" s="13">
        <v>45.06</v>
      </c>
      <c r="I17" s="14">
        <v>3.3616999999999999</v>
      </c>
      <c r="J17" s="13">
        <f t="shared" si="0"/>
        <v>0.32452420865792325</v>
      </c>
      <c r="K17" s="13"/>
      <c r="L17" s="13"/>
    </row>
    <row r="18" spans="1:12" x14ac:dyDescent="0.3">
      <c r="A18" s="8">
        <f>2*3.1415926/A17</f>
        <v>6.1399203908794799</v>
      </c>
      <c r="B18" s="8"/>
      <c r="C18" s="8"/>
      <c r="D18" s="8"/>
      <c r="E18" s="8"/>
      <c r="F18" s="8"/>
      <c r="H18" s="13"/>
      <c r="I18" s="13"/>
      <c r="J18" s="13"/>
      <c r="K18" s="13"/>
      <c r="L18" s="13"/>
    </row>
    <row r="19" spans="1:12" x14ac:dyDescent="0.3">
      <c r="A19" s="8"/>
      <c r="B19" s="8"/>
      <c r="C19" s="8"/>
      <c r="D19" s="8"/>
      <c r="E19" s="8"/>
      <c r="F19" s="8"/>
    </row>
    <row r="20" spans="1:12" x14ac:dyDescent="0.3">
      <c r="A20" s="10">
        <f>44.32*0.001*9.7833/(11*0.01)</f>
        <v>3.941780509090909</v>
      </c>
      <c r="B20" s="11">
        <f>SQRT(A20/(A21*0.001))</f>
        <v>6.2092021393938515</v>
      </c>
      <c r="C20" s="8"/>
      <c r="D20" s="8"/>
      <c r="E20" s="8"/>
      <c r="F20" s="8"/>
    </row>
    <row r="21" spans="1:12" x14ac:dyDescent="0.3">
      <c r="A21" s="8">
        <v>102.24</v>
      </c>
      <c r="B21" s="11">
        <f>SQRT(A20/((A21+0.333*A22)*0.001))</f>
        <v>6.1068300427374433</v>
      </c>
      <c r="C21" s="8"/>
      <c r="D21" s="8"/>
      <c r="E21" s="8"/>
      <c r="F21" s="8"/>
    </row>
    <row r="22" spans="1:12" x14ac:dyDescent="0.3">
      <c r="A22" s="8">
        <v>10.38</v>
      </c>
      <c r="B22" s="8"/>
      <c r="C22" s="8"/>
      <c r="D22" s="8"/>
      <c r="E22" s="8"/>
      <c r="F22" s="8"/>
    </row>
    <row r="23" spans="1:12" x14ac:dyDescent="0.3">
      <c r="A23" s="8"/>
      <c r="B23" s="8"/>
      <c r="C23" s="8"/>
      <c r="D23" s="8"/>
      <c r="E23" s="8"/>
      <c r="F23" s="8"/>
    </row>
    <row r="24" spans="1:12" x14ac:dyDescent="0.3">
      <c r="A24" s="12">
        <f>(A18-B20)/B20</f>
        <v>-1.1157914810796428E-2</v>
      </c>
      <c r="B24" s="8"/>
      <c r="C24" s="8"/>
      <c r="D24" s="8"/>
      <c r="E24" s="8"/>
      <c r="F24" s="8"/>
    </row>
    <row r="25" spans="1:12" x14ac:dyDescent="0.3">
      <c r="A25" s="12">
        <f>(A18-B21)/B21</f>
        <v>5.4185801652347184E-3</v>
      </c>
      <c r="B25" s="8"/>
      <c r="C25" s="8"/>
      <c r="D25" s="8"/>
      <c r="E25" s="8"/>
      <c r="F25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验证与测声速</vt:lpstr>
      <vt:lpstr>自由落体</vt:lpstr>
      <vt:lpstr>简谐振动</vt:lpstr>
      <vt:lpstr>牛二</vt:lpstr>
      <vt:lpstr>计算表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yangshuyun</dc:creator>
  <cp:lastModifiedBy>舒云 杨</cp:lastModifiedBy>
  <dcterms:created xsi:type="dcterms:W3CDTF">2015-06-05T18:19:34Z</dcterms:created>
  <dcterms:modified xsi:type="dcterms:W3CDTF">2025-07-17T14:06:51Z</dcterms:modified>
</cp:coreProperties>
</file>