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物理实验课程\基础物理实验I\BC3 透镜组基本参数的测量\"/>
    </mc:Choice>
  </mc:AlternateContent>
  <xr:revisionPtr revIDLastSave="0" documentId="13_ncr:1_{33253904-2C94-4EEA-ADE8-BC07AEFCF5F6}" xr6:coauthVersionLast="47" xr6:coauthVersionMax="47" xr10:uidLastSave="{00000000-0000-0000-0000-000000000000}"/>
  <bookViews>
    <workbookView xWindow="380" yWindow="380" windowWidth="20540" windowHeight="13780" xr2:uid="{00000000-000D-0000-FFFF-FFFF00000000}"/>
  </bookViews>
  <sheets>
    <sheet name="透镜组节点和焦距的测量l=6cm" sheetId="1" r:id="rId1"/>
    <sheet name="l=4cm" sheetId="2" r:id="rId2"/>
    <sheet name="l=5cm" sheetId="3" r:id="rId3"/>
    <sheet name="l=7cm" sheetId="4" r:id="rId4"/>
    <sheet name="变化表" sheetId="11" r:id="rId5"/>
    <sheet name="理论值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2" l="1"/>
  <c r="C4" i="12"/>
  <c r="D4" i="12"/>
  <c r="E4" i="12"/>
  <c r="B6" i="12"/>
  <c r="B5" i="12"/>
  <c r="B4" i="12"/>
  <c r="K2" i="4"/>
  <c r="F8" i="4"/>
  <c r="F9" i="4" s="1"/>
  <c r="F7" i="4"/>
  <c r="K8" i="3"/>
  <c r="K9" i="3" s="1"/>
  <c r="K7" i="3"/>
  <c r="K7" i="2"/>
  <c r="K8" i="2"/>
  <c r="K9" i="2"/>
  <c r="F9" i="2"/>
  <c r="F8" i="2"/>
  <c r="F7" i="2"/>
  <c r="K11" i="1"/>
  <c r="K10" i="1"/>
  <c r="K9" i="1"/>
  <c r="F11" i="1"/>
  <c r="F10" i="1"/>
  <c r="F9" i="1"/>
  <c r="K3" i="4"/>
  <c r="K7" i="4" s="1"/>
  <c r="K4" i="4"/>
  <c r="K5" i="4"/>
  <c r="K6" i="4"/>
  <c r="F3" i="4"/>
  <c r="F4" i="4"/>
  <c r="F5" i="4"/>
  <c r="F6" i="4"/>
  <c r="F2" i="4"/>
  <c r="K3" i="3"/>
  <c r="K4" i="3"/>
  <c r="K5" i="3"/>
  <c r="K6" i="3"/>
  <c r="K2" i="3"/>
  <c r="F3" i="3"/>
  <c r="F4" i="3"/>
  <c r="F5" i="3"/>
  <c r="F6" i="3"/>
  <c r="F8" i="3" s="1"/>
  <c r="F9" i="3" s="1"/>
  <c r="F2" i="3"/>
  <c r="K3" i="2"/>
  <c r="K4" i="2"/>
  <c r="K5" i="2"/>
  <c r="K6" i="2"/>
  <c r="K2" i="2"/>
  <c r="F3" i="2"/>
  <c r="F4" i="2"/>
  <c r="F5" i="2"/>
  <c r="F6" i="2"/>
  <c r="F2" i="2"/>
  <c r="K3" i="1"/>
  <c r="K4" i="1"/>
  <c r="K5" i="1"/>
  <c r="K6" i="1"/>
  <c r="K7" i="1"/>
  <c r="K8" i="1"/>
  <c r="K2" i="1"/>
  <c r="F3" i="1"/>
  <c r="F4" i="1"/>
  <c r="F5" i="1"/>
  <c r="F6" i="1"/>
  <c r="F7" i="1"/>
  <c r="F8" i="1"/>
  <c r="F2" i="1"/>
  <c r="F7" i="3" l="1"/>
  <c r="K8" i="4"/>
  <c r="K9" i="4" s="1"/>
</calcChain>
</file>

<file path=xl/sharedStrings.xml><?xml version="1.0" encoding="utf-8"?>
<sst xmlns="http://schemas.openxmlformats.org/spreadsheetml/2006/main" count="65" uniqueCount="23">
  <si>
    <t>测量次序\测量量</t>
    <phoneticPr fontId="1" type="noConversion"/>
  </si>
  <si>
    <t>焦点位置a/cm</t>
    <phoneticPr fontId="1" type="noConversion"/>
  </si>
  <si>
    <t>节点位置b/cm</t>
    <phoneticPr fontId="1" type="noConversion"/>
  </si>
  <si>
    <t>偏移距离d/cm</t>
    <phoneticPr fontId="1" type="noConversion"/>
  </si>
  <si>
    <t>物方</t>
    <phoneticPr fontId="1" type="noConversion"/>
  </si>
  <si>
    <t>像方</t>
    <phoneticPr fontId="1" type="noConversion"/>
  </si>
  <si>
    <t>焦点位置a'/cm</t>
    <phoneticPr fontId="1" type="noConversion"/>
  </si>
  <si>
    <t>节点位置b'/cm</t>
    <phoneticPr fontId="1" type="noConversion"/>
  </si>
  <si>
    <t>偏移距离d'/cm</t>
    <phoneticPr fontId="1" type="noConversion"/>
  </si>
  <si>
    <t>焦距f/cm</t>
    <phoneticPr fontId="1" type="noConversion"/>
  </si>
  <si>
    <t>焦距f'/cm</t>
    <phoneticPr fontId="1" type="noConversion"/>
  </si>
  <si>
    <t>均值</t>
    <phoneticPr fontId="1" type="noConversion"/>
  </si>
  <si>
    <t>标准差</t>
    <phoneticPr fontId="1" type="noConversion"/>
  </si>
  <si>
    <t>实验标准差</t>
    <phoneticPr fontId="1" type="noConversion"/>
  </si>
  <si>
    <t>l/cm</t>
    <phoneticPr fontId="1" type="noConversion"/>
  </si>
  <si>
    <t>f/cm</t>
    <phoneticPr fontId="1" type="noConversion"/>
  </si>
  <si>
    <t>f'/cm</t>
    <phoneticPr fontId="1" type="noConversion"/>
  </si>
  <si>
    <t>f1</t>
    <phoneticPr fontId="1" type="noConversion"/>
  </si>
  <si>
    <t>f2</t>
    <phoneticPr fontId="1" type="noConversion"/>
  </si>
  <si>
    <t>l</t>
    <phoneticPr fontId="1" type="noConversion"/>
  </si>
  <si>
    <t>f</t>
    <phoneticPr fontId="1" type="noConversion"/>
  </si>
  <si>
    <t>H</t>
    <phoneticPr fontId="1" type="noConversion"/>
  </si>
  <si>
    <t>H'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</si>
</sst>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B1" workbookViewId="0">
      <selection activeCell="K2" sqref="K2:K8"/>
    </sheetView>
  </sheetViews>
  <sheetFormatPr defaultRowHeight="14" x14ac:dyDescent="0.3"/>
  <cols>
    <col min="1" max="11" width="18.6640625" customWidth="1"/>
  </cols>
  <sheetData>
    <row r="1" spans="1:11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9</v>
      </c>
      <c r="G1" t="s">
        <v>4</v>
      </c>
      <c r="H1" t="s">
        <v>6</v>
      </c>
      <c r="I1" t="s">
        <v>7</v>
      </c>
      <c r="J1" t="s">
        <v>8</v>
      </c>
      <c r="K1" t="s">
        <v>10</v>
      </c>
    </row>
    <row r="2" spans="1:11" x14ac:dyDescent="0.3">
      <c r="A2">
        <v>1</v>
      </c>
      <c r="C2" s="1">
        <v>53.8</v>
      </c>
      <c r="D2" s="1">
        <v>40.82</v>
      </c>
      <c r="E2" s="1">
        <v>0.5</v>
      </c>
      <c r="F2" s="1">
        <f>C2-D2</f>
        <v>12.979999999999997</v>
      </c>
      <c r="H2" s="1">
        <v>63.25</v>
      </c>
      <c r="I2" s="1">
        <v>50</v>
      </c>
      <c r="J2" s="1">
        <v>0.107</v>
      </c>
      <c r="K2" s="1">
        <f>H2-I2</f>
        <v>13.25</v>
      </c>
    </row>
    <row r="3" spans="1:11" x14ac:dyDescent="0.3">
      <c r="A3">
        <v>2</v>
      </c>
      <c r="C3" s="1">
        <v>53.92</v>
      </c>
      <c r="D3" s="1">
        <v>40.82</v>
      </c>
      <c r="E3" s="1">
        <v>0.5</v>
      </c>
      <c r="F3" s="1">
        <f t="shared" ref="F3:F8" si="0">C3-D3</f>
        <v>13.100000000000001</v>
      </c>
      <c r="H3" s="1">
        <v>68.150000000000006</v>
      </c>
      <c r="I3" s="1">
        <v>55</v>
      </c>
      <c r="J3" s="1">
        <v>0.107</v>
      </c>
      <c r="K3" s="1">
        <f t="shared" ref="K3:K8" si="1">H3-I3</f>
        <v>13.150000000000006</v>
      </c>
    </row>
    <row r="4" spans="1:11" x14ac:dyDescent="0.3">
      <c r="A4">
        <v>3</v>
      </c>
      <c r="C4" s="1">
        <v>61.1</v>
      </c>
      <c r="D4" s="1">
        <v>48.1</v>
      </c>
      <c r="E4" s="1">
        <v>0.5</v>
      </c>
      <c r="F4" s="1">
        <f t="shared" si="0"/>
        <v>13</v>
      </c>
      <c r="H4" s="1">
        <v>73.150000000000006</v>
      </c>
      <c r="I4" s="1">
        <v>60</v>
      </c>
      <c r="J4" s="1">
        <v>0.107</v>
      </c>
      <c r="K4" s="1">
        <f t="shared" si="1"/>
        <v>13.150000000000006</v>
      </c>
    </row>
    <row r="5" spans="1:11" x14ac:dyDescent="0.3">
      <c r="A5">
        <v>4</v>
      </c>
      <c r="C5" s="1">
        <v>63.08</v>
      </c>
      <c r="D5" s="1">
        <v>50</v>
      </c>
      <c r="E5" s="1">
        <v>0.5</v>
      </c>
      <c r="F5" s="1">
        <f t="shared" si="0"/>
        <v>13.079999999999998</v>
      </c>
      <c r="H5" s="1">
        <v>78.12</v>
      </c>
      <c r="I5" s="1">
        <v>65</v>
      </c>
      <c r="J5" s="1">
        <v>0.107</v>
      </c>
      <c r="K5" s="1">
        <f t="shared" si="1"/>
        <v>13.120000000000005</v>
      </c>
    </row>
    <row r="6" spans="1:11" x14ac:dyDescent="0.3">
      <c r="A6">
        <v>5</v>
      </c>
      <c r="C6" s="1">
        <v>68</v>
      </c>
      <c r="D6" s="1">
        <v>55</v>
      </c>
      <c r="E6" s="1">
        <v>0.5</v>
      </c>
      <c r="F6" s="1">
        <f t="shared" si="0"/>
        <v>13</v>
      </c>
      <c r="H6" s="1">
        <v>70.2</v>
      </c>
      <c r="I6" s="1">
        <v>57</v>
      </c>
      <c r="J6" s="1">
        <v>0.107</v>
      </c>
      <c r="K6" s="1">
        <f t="shared" si="1"/>
        <v>13.200000000000003</v>
      </c>
    </row>
    <row r="7" spans="1:11" x14ac:dyDescent="0.3">
      <c r="A7">
        <v>6</v>
      </c>
      <c r="C7" s="1">
        <v>77.989999999999995</v>
      </c>
      <c r="D7" s="1">
        <v>65</v>
      </c>
      <c r="E7" s="1">
        <v>0.47</v>
      </c>
      <c r="F7" s="1">
        <f t="shared" si="0"/>
        <v>12.989999999999995</v>
      </c>
      <c r="H7" s="1">
        <v>80.25</v>
      </c>
      <c r="I7" s="1">
        <v>67</v>
      </c>
      <c r="J7" s="1">
        <v>0.107</v>
      </c>
      <c r="K7" s="1">
        <f t="shared" si="1"/>
        <v>13.25</v>
      </c>
    </row>
    <row r="8" spans="1:11" x14ac:dyDescent="0.3">
      <c r="A8">
        <v>7</v>
      </c>
      <c r="C8" s="1">
        <v>83.12</v>
      </c>
      <c r="D8" s="1">
        <v>70</v>
      </c>
      <c r="E8" s="1">
        <v>0.47</v>
      </c>
      <c r="F8" s="1">
        <f t="shared" si="0"/>
        <v>13.120000000000005</v>
      </c>
      <c r="H8" s="1">
        <v>83.2</v>
      </c>
      <c r="I8" s="1">
        <v>70</v>
      </c>
      <c r="J8" s="1">
        <v>0.107</v>
      </c>
      <c r="K8" s="1">
        <f t="shared" si="1"/>
        <v>13.200000000000003</v>
      </c>
    </row>
    <row r="9" spans="1:11" x14ac:dyDescent="0.3">
      <c r="A9" t="s">
        <v>11</v>
      </c>
      <c r="F9" s="1">
        <f>AVERAGE(F2:F8)</f>
        <v>13.038571428571428</v>
      </c>
      <c r="K9" s="1">
        <f>AVERAGE(K2:K8)</f>
        <v>13.188571428571432</v>
      </c>
    </row>
    <row r="10" spans="1:11" x14ac:dyDescent="0.3">
      <c r="A10" t="s">
        <v>12</v>
      </c>
      <c r="F10" s="1">
        <f>_xlfn.STDEV.P(F2:F8)</f>
        <v>5.4623012269445458E-2</v>
      </c>
      <c r="K10" s="1">
        <f>_xlfn.STDEV.P(K2:K8)</f>
        <v>4.7034507523296E-2</v>
      </c>
    </row>
    <row r="11" spans="1:11" x14ac:dyDescent="0.3">
      <c r="A11" t="s">
        <v>13</v>
      </c>
      <c r="F11" s="1">
        <f>F10/SQRT(6)</f>
        <v>2.2299751378987726E-2</v>
      </c>
      <c r="K11" s="1">
        <f>K10/SQRT(6)</f>
        <v>1.9201757289195296E-2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FDBB-7AEE-40BA-9A3E-E1ED6A687CAA}">
  <dimension ref="A1:K9"/>
  <sheetViews>
    <sheetView workbookViewId="0">
      <selection activeCell="K7" sqref="K7"/>
    </sheetView>
  </sheetViews>
  <sheetFormatPr defaultRowHeight="14" x14ac:dyDescent="0.3"/>
  <cols>
    <col min="1" max="11" width="18.6640625" customWidth="1"/>
  </cols>
  <sheetData>
    <row r="1" spans="1:11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9</v>
      </c>
      <c r="G1" t="s">
        <v>4</v>
      </c>
      <c r="H1" t="s">
        <v>6</v>
      </c>
      <c r="I1" t="s">
        <v>7</v>
      </c>
      <c r="J1" t="s">
        <v>8</v>
      </c>
      <c r="K1" t="s">
        <v>10</v>
      </c>
    </row>
    <row r="2" spans="1:11" x14ac:dyDescent="0.3">
      <c r="A2">
        <v>1</v>
      </c>
      <c r="C2" s="1">
        <v>60.2</v>
      </c>
      <c r="D2" s="1">
        <v>47.78</v>
      </c>
      <c r="E2" s="1">
        <v>0.45</v>
      </c>
      <c r="F2" s="2">
        <f>C2-D2</f>
        <v>12.420000000000002</v>
      </c>
      <c r="H2" s="1">
        <v>62.5</v>
      </c>
      <c r="I2" s="1">
        <v>50</v>
      </c>
      <c r="J2" s="1">
        <v>0.5</v>
      </c>
      <c r="K2" s="2">
        <f>H2-I2</f>
        <v>12.5</v>
      </c>
    </row>
    <row r="3" spans="1:11" x14ac:dyDescent="0.3">
      <c r="A3">
        <v>2</v>
      </c>
      <c r="C3" s="1">
        <v>67.400000000000006</v>
      </c>
      <c r="D3" s="1">
        <v>55</v>
      </c>
      <c r="E3" s="1">
        <v>0.5</v>
      </c>
      <c r="F3" s="2">
        <f t="shared" ref="F3:F6" si="0">C3-D3</f>
        <v>12.400000000000006</v>
      </c>
      <c r="H3" s="1">
        <v>67.28</v>
      </c>
      <c r="I3" s="1">
        <v>55</v>
      </c>
      <c r="J3" s="1">
        <v>0.5</v>
      </c>
      <c r="K3" s="2">
        <f t="shared" ref="K3:K6" si="1">H3-I3</f>
        <v>12.280000000000001</v>
      </c>
    </row>
    <row r="4" spans="1:11" x14ac:dyDescent="0.3">
      <c r="A4">
        <v>3</v>
      </c>
      <c r="C4" s="1">
        <v>62.35</v>
      </c>
      <c r="D4" s="1">
        <v>50</v>
      </c>
      <c r="E4" s="1">
        <v>0.5</v>
      </c>
      <c r="F4" s="2">
        <f t="shared" si="0"/>
        <v>12.350000000000001</v>
      </c>
      <c r="H4" s="1">
        <v>62.49</v>
      </c>
      <c r="I4" s="1">
        <v>50</v>
      </c>
      <c r="J4" s="1">
        <v>0.5</v>
      </c>
      <c r="K4" s="2">
        <f t="shared" si="1"/>
        <v>12.490000000000002</v>
      </c>
    </row>
    <row r="5" spans="1:11" x14ac:dyDescent="0.3">
      <c r="A5">
        <v>4</v>
      </c>
      <c r="C5" s="1">
        <v>72.319999999999993</v>
      </c>
      <c r="D5" s="1">
        <v>60</v>
      </c>
      <c r="E5" s="1">
        <v>0.5</v>
      </c>
      <c r="F5" s="2">
        <f t="shared" si="0"/>
        <v>12.319999999999993</v>
      </c>
      <c r="H5" s="1">
        <v>72.5</v>
      </c>
      <c r="I5" s="1">
        <v>60</v>
      </c>
      <c r="J5" s="1">
        <v>0.5</v>
      </c>
      <c r="K5" s="2">
        <f t="shared" si="1"/>
        <v>12.5</v>
      </c>
    </row>
    <row r="6" spans="1:11" x14ac:dyDescent="0.3">
      <c r="A6">
        <v>5</v>
      </c>
      <c r="C6" s="1">
        <v>77.400000000000006</v>
      </c>
      <c r="D6" s="1">
        <v>65</v>
      </c>
      <c r="E6" s="1">
        <v>0.5</v>
      </c>
      <c r="F6" s="2">
        <f t="shared" si="0"/>
        <v>12.400000000000006</v>
      </c>
      <c r="H6" s="1">
        <v>77.52</v>
      </c>
      <c r="I6" s="1">
        <v>65</v>
      </c>
      <c r="J6" s="1">
        <v>0.5</v>
      </c>
      <c r="K6" s="2">
        <f t="shared" si="1"/>
        <v>12.519999999999996</v>
      </c>
    </row>
    <row r="7" spans="1:11" x14ac:dyDescent="0.3">
      <c r="A7" t="s">
        <v>11</v>
      </c>
      <c r="F7" s="2">
        <f>AVERAGE(F2:F6)</f>
        <v>12.378000000000002</v>
      </c>
      <c r="G7" s="2"/>
      <c r="H7" s="2"/>
      <c r="I7" s="2"/>
      <c r="J7" s="2"/>
      <c r="K7" s="2">
        <f t="shared" ref="K7" si="2">AVERAGE(K2:K6)</f>
        <v>12.458</v>
      </c>
    </row>
    <row r="8" spans="1:11" x14ac:dyDescent="0.3">
      <c r="A8" t="s">
        <v>12</v>
      </c>
      <c r="F8" s="2">
        <f>_xlfn.STDEV.P(F2:F6)</f>
        <v>3.7094473981986467E-2</v>
      </c>
      <c r="G8" s="2"/>
      <c r="H8" s="2"/>
      <c r="I8" s="2"/>
      <c r="J8" s="2"/>
      <c r="K8" s="2">
        <f t="shared" ref="K8" si="3">_xlfn.STDEV.P(K2:K6)</f>
        <v>8.9532117142396714E-2</v>
      </c>
    </row>
    <row r="9" spans="1:11" x14ac:dyDescent="0.3">
      <c r="A9" t="s">
        <v>13</v>
      </c>
      <c r="F9" s="1">
        <f>F8/2</f>
        <v>1.8547236990993234E-2</v>
      </c>
      <c r="G9" s="1"/>
      <c r="H9" s="1"/>
      <c r="I9" s="1"/>
      <c r="J9" s="1"/>
      <c r="K9" s="1">
        <f t="shared" ref="K9" si="4">K8/2</f>
        <v>4.4766058571198357E-2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5C0C-B9F9-4883-A01D-3DD2C7490E97}">
  <dimension ref="A1:K9"/>
  <sheetViews>
    <sheetView workbookViewId="0">
      <selection activeCell="F7" sqref="F7"/>
    </sheetView>
  </sheetViews>
  <sheetFormatPr defaultRowHeight="14" x14ac:dyDescent="0.3"/>
  <cols>
    <col min="1" max="11" width="18.75" customWidth="1"/>
  </cols>
  <sheetData>
    <row r="1" spans="1:11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9</v>
      </c>
      <c r="G1" t="s">
        <v>4</v>
      </c>
      <c r="H1" t="s">
        <v>6</v>
      </c>
      <c r="I1" t="s">
        <v>7</v>
      </c>
      <c r="J1" t="s">
        <v>8</v>
      </c>
      <c r="K1" t="s">
        <v>10</v>
      </c>
    </row>
    <row r="2" spans="1:11" x14ac:dyDescent="0.3">
      <c r="A2">
        <v>1</v>
      </c>
      <c r="C2" s="1">
        <v>62.7</v>
      </c>
      <c r="D2" s="1">
        <v>50</v>
      </c>
      <c r="E2" s="1">
        <v>0.5</v>
      </c>
      <c r="F2" s="2">
        <f>C2-D2</f>
        <v>12.700000000000003</v>
      </c>
      <c r="H2" s="1">
        <v>62.5</v>
      </c>
      <c r="I2" s="1">
        <v>50</v>
      </c>
      <c r="J2" s="1">
        <v>0.7</v>
      </c>
      <c r="K2" s="2">
        <f>H2-I2</f>
        <v>12.5</v>
      </c>
    </row>
    <row r="3" spans="1:11" x14ac:dyDescent="0.3">
      <c r="A3">
        <v>2</v>
      </c>
      <c r="C3" s="1">
        <v>72.72</v>
      </c>
      <c r="D3" s="1">
        <v>60</v>
      </c>
      <c r="E3" s="1">
        <v>0.5</v>
      </c>
      <c r="F3" s="2">
        <f t="shared" ref="F3:F6" si="0">C3-D3</f>
        <v>12.719999999999999</v>
      </c>
      <c r="H3" s="1">
        <v>72.5</v>
      </c>
      <c r="I3" s="1">
        <v>60</v>
      </c>
      <c r="J3" s="1">
        <v>0.7</v>
      </c>
      <c r="K3" s="2">
        <f t="shared" ref="K3:K6" si="1">H3-I3</f>
        <v>12.5</v>
      </c>
    </row>
    <row r="4" spans="1:11" x14ac:dyDescent="0.3">
      <c r="A4">
        <v>3</v>
      </c>
      <c r="C4" s="1">
        <v>67.900000000000006</v>
      </c>
      <c r="D4" s="1">
        <v>55</v>
      </c>
      <c r="E4" s="1">
        <v>0.5</v>
      </c>
      <c r="F4" s="2">
        <f t="shared" si="0"/>
        <v>12.900000000000006</v>
      </c>
      <c r="H4" s="1">
        <v>67.75</v>
      </c>
      <c r="I4" s="1">
        <v>55</v>
      </c>
      <c r="J4" s="1">
        <v>0.7</v>
      </c>
      <c r="K4" s="2">
        <f t="shared" si="1"/>
        <v>12.75</v>
      </c>
    </row>
    <row r="5" spans="1:11" x14ac:dyDescent="0.3">
      <c r="A5">
        <v>4</v>
      </c>
      <c r="C5" s="1">
        <v>77.78</v>
      </c>
      <c r="D5" s="1">
        <v>65</v>
      </c>
      <c r="E5" s="1">
        <v>0.5</v>
      </c>
      <c r="F5" s="2">
        <f t="shared" si="0"/>
        <v>12.780000000000001</v>
      </c>
      <c r="H5" s="1">
        <v>77.7</v>
      </c>
      <c r="I5" s="1">
        <v>65</v>
      </c>
      <c r="J5" s="1">
        <v>0.7</v>
      </c>
      <c r="K5" s="2">
        <f t="shared" si="1"/>
        <v>12.700000000000003</v>
      </c>
    </row>
    <row r="6" spans="1:11" x14ac:dyDescent="0.3">
      <c r="A6">
        <v>5</v>
      </c>
      <c r="C6" s="1">
        <v>82.82</v>
      </c>
      <c r="D6" s="1">
        <v>70</v>
      </c>
      <c r="E6" s="1">
        <v>0.5</v>
      </c>
      <c r="F6" s="2">
        <f t="shared" si="0"/>
        <v>12.819999999999993</v>
      </c>
      <c r="H6" s="1">
        <v>82.75</v>
      </c>
      <c r="I6" s="1">
        <v>70</v>
      </c>
      <c r="J6" s="1">
        <v>0.7</v>
      </c>
      <c r="K6" s="2">
        <f t="shared" si="1"/>
        <v>12.75</v>
      </c>
    </row>
    <row r="7" spans="1:11" x14ac:dyDescent="0.3">
      <c r="A7" t="s">
        <v>11</v>
      </c>
      <c r="F7" s="1">
        <f>AVERAGE(F2:F6)</f>
        <v>12.784000000000001</v>
      </c>
      <c r="K7">
        <f>AVERAGE(K2:K6)</f>
        <v>12.64</v>
      </c>
    </row>
    <row r="8" spans="1:11" x14ac:dyDescent="0.3">
      <c r="A8" t="s">
        <v>12</v>
      </c>
      <c r="F8" s="1">
        <f>_xlfn.STDEV.P(F2:F6)</f>
        <v>7.2000000000000675E-2</v>
      </c>
      <c r="K8" s="1">
        <f>_xlfn.STDEV.P(K2:K6)</f>
        <v>0.11575836902790256</v>
      </c>
    </row>
    <row r="9" spans="1:11" x14ac:dyDescent="0.3">
      <c r="A9" t="s">
        <v>13</v>
      </c>
      <c r="F9" s="1">
        <f>F8/2</f>
        <v>3.6000000000000337E-2</v>
      </c>
      <c r="K9" s="1">
        <f>K8/2</f>
        <v>5.7879184513951278E-2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45E4-DB31-43D8-A739-1B5832FB5672}">
  <dimension ref="A1:K9"/>
  <sheetViews>
    <sheetView workbookViewId="0">
      <selection activeCell="K7" sqref="K7"/>
    </sheetView>
  </sheetViews>
  <sheetFormatPr defaultRowHeight="14" x14ac:dyDescent="0.3"/>
  <cols>
    <col min="1" max="11" width="18.6640625" customWidth="1"/>
  </cols>
  <sheetData>
    <row r="1" spans="1:11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9</v>
      </c>
      <c r="G1" t="s">
        <v>4</v>
      </c>
      <c r="H1" t="s">
        <v>6</v>
      </c>
      <c r="I1" t="s">
        <v>7</v>
      </c>
      <c r="J1" t="s">
        <v>8</v>
      </c>
      <c r="K1" t="s">
        <v>10</v>
      </c>
    </row>
    <row r="2" spans="1:11" x14ac:dyDescent="0.3">
      <c r="A2">
        <v>1</v>
      </c>
      <c r="C2" s="1">
        <v>73.400000000000006</v>
      </c>
      <c r="D2" s="1">
        <v>60</v>
      </c>
      <c r="E2">
        <v>0.45</v>
      </c>
      <c r="F2" s="1">
        <f>C2-D2</f>
        <v>13.400000000000006</v>
      </c>
      <c r="H2" s="1">
        <v>73.5</v>
      </c>
      <c r="I2" s="1">
        <v>60</v>
      </c>
      <c r="J2">
        <v>1.25</v>
      </c>
      <c r="K2" s="1">
        <f>H2-I2</f>
        <v>13.5</v>
      </c>
    </row>
    <row r="3" spans="1:11" x14ac:dyDescent="0.3">
      <c r="A3">
        <v>2</v>
      </c>
      <c r="C3" s="1">
        <v>63.45</v>
      </c>
      <c r="D3" s="1">
        <v>50</v>
      </c>
      <c r="E3">
        <v>0.45</v>
      </c>
      <c r="F3" s="1">
        <f t="shared" ref="F3:F6" si="0">C3-D3</f>
        <v>13.450000000000003</v>
      </c>
      <c r="H3" s="1">
        <v>63.55</v>
      </c>
      <c r="I3" s="1">
        <v>50</v>
      </c>
      <c r="J3">
        <v>1.25</v>
      </c>
      <c r="K3" s="1">
        <f t="shared" ref="K3:K6" si="1">H3-I3</f>
        <v>13.549999999999997</v>
      </c>
    </row>
    <row r="4" spans="1:11" x14ac:dyDescent="0.3">
      <c r="A4">
        <v>3</v>
      </c>
      <c r="C4" s="1">
        <v>68.150000000000006</v>
      </c>
      <c r="D4" s="1">
        <v>55</v>
      </c>
      <c r="E4">
        <v>0.45</v>
      </c>
      <c r="F4" s="1">
        <f t="shared" si="0"/>
        <v>13.150000000000006</v>
      </c>
      <c r="H4" s="1">
        <v>68.489999999999995</v>
      </c>
      <c r="I4" s="1">
        <v>55</v>
      </c>
      <c r="J4">
        <v>1.25</v>
      </c>
      <c r="K4" s="1">
        <f t="shared" si="1"/>
        <v>13.489999999999995</v>
      </c>
    </row>
    <row r="5" spans="1:11" x14ac:dyDescent="0.3">
      <c r="A5">
        <v>4</v>
      </c>
      <c r="C5" s="1">
        <v>78.3</v>
      </c>
      <c r="D5" s="1">
        <v>65</v>
      </c>
      <c r="E5">
        <v>0.45</v>
      </c>
      <c r="F5" s="1">
        <f t="shared" si="0"/>
        <v>13.299999999999997</v>
      </c>
      <c r="H5" s="1">
        <v>78.400000000000006</v>
      </c>
      <c r="I5" s="1">
        <v>65</v>
      </c>
      <c r="J5">
        <v>1.25</v>
      </c>
      <c r="K5" s="1">
        <f t="shared" si="1"/>
        <v>13.400000000000006</v>
      </c>
    </row>
    <row r="6" spans="1:11" x14ac:dyDescent="0.3">
      <c r="A6">
        <v>5</v>
      </c>
      <c r="C6" s="1">
        <v>83.32</v>
      </c>
      <c r="D6" s="1">
        <v>70</v>
      </c>
      <c r="E6">
        <v>0.45</v>
      </c>
      <c r="F6" s="1">
        <f t="shared" si="0"/>
        <v>13.319999999999993</v>
      </c>
      <c r="H6" s="1">
        <v>83.45</v>
      </c>
      <c r="I6" s="1">
        <v>70</v>
      </c>
      <c r="J6">
        <v>1.25</v>
      </c>
      <c r="K6" s="1">
        <f t="shared" si="1"/>
        <v>13.450000000000003</v>
      </c>
    </row>
    <row r="7" spans="1:11" x14ac:dyDescent="0.3">
      <c r="A7" t="s">
        <v>11</v>
      </c>
      <c r="F7" s="1">
        <f>AVERAGE(F2:F6)</f>
        <v>13.324000000000002</v>
      </c>
      <c r="K7" s="1">
        <f>AVERAGE(K2:K6)</f>
        <v>13.478</v>
      </c>
    </row>
    <row r="8" spans="1:11" x14ac:dyDescent="0.3">
      <c r="A8" t="s">
        <v>12</v>
      </c>
      <c r="F8" s="1">
        <f>_xlfn.STDEV.P(F2:F6)</f>
        <v>0.10248902380255145</v>
      </c>
      <c r="K8" s="1">
        <f>_xlfn.STDEV.P(K2:K6)</f>
        <v>5.0358713248053549E-2</v>
      </c>
    </row>
    <row r="9" spans="1:11" x14ac:dyDescent="0.3">
      <c r="A9" t="s">
        <v>13</v>
      </c>
      <c r="F9" s="1">
        <f>F8/2</f>
        <v>5.1244511901275727E-2</v>
      </c>
      <c r="K9" s="1">
        <f>K8/2</f>
        <v>2.5179356624026775E-2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2347-538A-4551-B294-3F10B782A520}">
  <dimension ref="A1:C5"/>
  <sheetViews>
    <sheetView workbookViewId="0">
      <selection activeCell="G11" sqref="G11"/>
    </sheetView>
  </sheetViews>
  <sheetFormatPr defaultRowHeight="14" x14ac:dyDescent="0.3"/>
  <sheetData>
    <row r="1" spans="1:3" x14ac:dyDescent="0.3">
      <c r="A1" t="s">
        <v>14</v>
      </c>
      <c r="B1" t="s">
        <v>16</v>
      </c>
      <c r="C1" t="s">
        <v>15</v>
      </c>
    </row>
    <row r="2" spans="1:3" x14ac:dyDescent="0.3">
      <c r="A2">
        <v>4</v>
      </c>
      <c r="B2">
        <v>12.378000000000002</v>
      </c>
      <c r="C2">
        <v>12.458</v>
      </c>
    </row>
    <row r="3" spans="1:3" x14ac:dyDescent="0.3">
      <c r="A3">
        <v>5</v>
      </c>
      <c r="B3">
        <v>12.784000000000001</v>
      </c>
      <c r="C3">
        <v>12.64</v>
      </c>
    </row>
    <row r="4" spans="1:3" x14ac:dyDescent="0.3">
      <c r="A4">
        <v>6</v>
      </c>
      <c r="B4">
        <v>13.038571428571428</v>
      </c>
      <c r="C4">
        <v>13.188571428571432</v>
      </c>
    </row>
    <row r="5" spans="1:3" x14ac:dyDescent="0.3">
      <c r="A5">
        <v>7</v>
      </c>
      <c r="B5">
        <v>13.324000000000002</v>
      </c>
      <c r="C5">
        <v>13.478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12B6-ED83-4B8F-AF16-BDE18D5E4CB5}">
  <dimension ref="A1:E8"/>
  <sheetViews>
    <sheetView workbookViewId="0">
      <selection activeCell="G8" sqref="G8"/>
    </sheetView>
  </sheetViews>
  <sheetFormatPr defaultRowHeight="14" x14ac:dyDescent="0.3"/>
  <sheetData>
    <row r="1" spans="1:5" x14ac:dyDescent="0.3">
      <c r="A1" t="s">
        <v>17</v>
      </c>
      <c r="B1">
        <v>30</v>
      </c>
      <c r="C1">
        <v>30</v>
      </c>
      <c r="D1">
        <v>30</v>
      </c>
      <c r="E1">
        <v>30</v>
      </c>
    </row>
    <row r="2" spans="1:5" x14ac:dyDescent="0.3">
      <c r="A2" t="s">
        <v>18</v>
      </c>
      <c r="B2">
        <v>19</v>
      </c>
      <c r="C2">
        <v>19</v>
      </c>
      <c r="D2">
        <v>19</v>
      </c>
      <c r="E2">
        <v>19</v>
      </c>
    </row>
    <row r="3" spans="1:5" x14ac:dyDescent="0.3">
      <c r="A3" t="s">
        <v>19</v>
      </c>
      <c r="B3">
        <v>6</v>
      </c>
      <c r="C3">
        <v>4</v>
      </c>
      <c r="D3">
        <v>5</v>
      </c>
      <c r="E3">
        <v>7</v>
      </c>
    </row>
    <row r="4" spans="1:5" x14ac:dyDescent="0.3">
      <c r="A4" t="s">
        <v>20</v>
      </c>
      <c r="B4">
        <f>(B1*B2)/(B1+B2-B3)</f>
        <v>13.255813953488373</v>
      </c>
      <c r="C4">
        <f t="shared" ref="C4:E4" si="0">(C1*C2)/(C1+C2-C3)</f>
        <v>12.666666666666666</v>
      </c>
      <c r="D4">
        <f t="shared" si="0"/>
        <v>12.954545454545455</v>
      </c>
      <c r="E4">
        <f t="shared" si="0"/>
        <v>13.571428571428571</v>
      </c>
    </row>
    <row r="5" spans="1:5" x14ac:dyDescent="0.3">
      <c r="A5" t="s">
        <v>21</v>
      </c>
      <c r="B5">
        <f>-B4*B3/B2</f>
        <v>-4.1860465116279073</v>
      </c>
    </row>
    <row r="6" spans="1:5" x14ac:dyDescent="0.3">
      <c r="A6" t="s">
        <v>22</v>
      </c>
      <c r="B6">
        <f>-B4*B3/B1</f>
        <v>-2.6511627906976747</v>
      </c>
    </row>
    <row r="8" spans="1:5" x14ac:dyDescent="0.3">
      <c r="B8">
        <f>B1*B2</f>
        <v>570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透镜组节点和焦距的测量l=6cm</vt:lpstr>
      <vt:lpstr>l=4cm</vt:lpstr>
      <vt:lpstr>l=5cm</vt:lpstr>
      <vt:lpstr>l=7cm</vt:lpstr>
      <vt:lpstr>变化表</vt:lpstr>
      <vt:lpstr>理论值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2025-07-17T13:21:38Z</dcterms:modified>
</cp:coreProperties>
</file>