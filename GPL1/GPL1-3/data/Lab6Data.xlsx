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物理实验课程\基础物理实验I\Lab6 单缝衍射的相对光强分布\"/>
    </mc:Choice>
  </mc:AlternateContent>
  <xr:revisionPtr revIDLastSave="0" documentId="13_ncr:1_{DD67ED00-D1FD-4D19-94ED-5F798011CA14}" xr6:coauthVersionLast="47" xr6:coauthVersionMax="47" xr10:uidLastSave="{00000000-0000-0000-0000-000000000000}"/>
  <bookViews>
    <workbookView xWindow="380" yWindow="380" windowWidth="20540" windowHeight="13780" activeTab="2" xr2:uid="{00000000-000D-0000-FFFF-FFFF00000000}"/>
  </bookViews>
  <sheets>
    <sheet name="0.15mm相对光强分布" sheetId="1" r:id="rId1"/>
    <sheet name="0.28mm、8.3mm相对光强分布" sheetId="2" r:id="rId2"/>
    <sheet name="0.28mm、6mm相对光强分布" sheetId="3" r:id="rId3"/>
    <sheet name="光功率与距离关系" sheetId="4" r:id="rId4"/>
    <sheet name="计算表" sheetId="5" r:id="rId5"/>
    <sheet name="展示表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2" i="4"/>
  <c r="F10" i="4"/>
  <c r="F11" i="4"/>
  <c r="F12" i="4"/>
  <c r="F13" i="4"/>
  <c r="F14" i="4"/>
  <c r="F9" i="4"/>
  <c r="F3" i="4"/>
  <c r="F4" i="4" s="1"/>
  <c r="F5" i="4" s="1"/>
  <c r="F6" i="4" s="1"/>
  <c r="F7" i="4" s="1"/>
  <c r="F8" i="4" s="1"/>
  <c r="E3" i="4"/>
  <c r="E4" i="4"/>
  <c r="E5" i="4"/>
  <c r="E6" i="4"/>
  <c r="E7" i="4"/>
  <c r="E8" i="4"/>
  <c r="E9" i="4"/>
  <c r="E10" i="4"/>
  <c r="E11" i="4"/>
  <c r="E12" i="4"/>
  <c r="E13" i="4"/>
  <c r="E14" i="4"/>
  <c r="D3" i="4"/>
  <c r="D4" i="4"/>
  <c r="D5" i="4"/>
  <c r="D6" i="4"/>
  <c r="D7" i="4"/>
  <c r="D8" i="4"/>
  <c r="D9" i="4"/>
  <c r="D10" i="4"/>
  <c r="D11" i="4"/>
  <c r="D12" i="4"/>
  <c r="D13" i="4"/>
  <c r="D14" i="4"/>
  <c r="E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2" i="4"/>
  <c r="I11" i="5"/>
  <c r="A3" i="4"/>
  <c r="A4" i="4" s="1"/>
  <c r="A5" i="4" s="1"/>
  <c r="A6" i="4" s="1"/>
  <c r="A7" i="4" s="1"/>
  <c r="A8" i="4" s="1"/>
  <c r="A16" i="3"/>
  <c r="A17" i="3"/>
  <c r="A18" i="3"/>
  <c r="A19" i="3"/>
  <c r="A20" i="3"/>
  <c r="A21" i="3"/>
  <c r="A22" i="3"/>
  <c r="A23" i="3"/>
  <c r="A4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3" i="3"/>
  <c r="A4" i="2"/>
  <c r="A5" i="2"/>
  <c r="A6" i="2"/>
  <c r="A7" i="2"/>
  <c r="A8" i="2"/>
  <c r="A9" i="2"/>
  <c r="A10" i="2"/>
  <c r="A11" i="2"/>
  <c r="A12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3" i="2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26" i="1"/>
  <c r="A27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 s="1"/>
  <c r="A25" i="1" s="1"/>
  <c r="A3" i="1"/>
</calcChain>
</file>

<file path=xl/sharedStrings.xml><?xml version="1.0" encoding="utf-8"?>
<sst xmlns="http://schemas.openxmlformats.org/spreadsheetml/2006/main" count="33" uniqueCount="12">
  <si>
    <t>位置X/mm</t>
  </si>
  <si>
    <t>位置X/mm</t>
    <phoneticPr fontId="1" type="noConversion"/>
  </si>
  <si>
    <t>光功率/μW</t>
  </si>
  <si>
    <t>光功率/μW</t>
    <phoneticPr fontId="1" type="noConversion"/>
  </si>
  <si>
    <t>其它数据</t>
    <phoneticPr fontId="1" type="noConversion"/>
  </si>
  <si>
    <t>出光口位置/cm</t>
    <phoneticPr fontId="1" type="noConversion"/>
  </si>
  <si>
    <t>狭缝位置/cm</t>
    <phoneticPr fontId="1" type="noConversion"/>
  </si>
  <si>
    <t>缝宽/mm</t>
    <phoneticPr fontId="1" type="noConversion"/>
  </si>
  <si>
    <t>光探头位置/cm</t>
    <phoneticPr fontId="1" type="noConversion"/>
  </si>
  <si>
    <t>光探头缝宽/mm</t>
    <phoneticPr fontId="1" type="noConversion"/>
  </si>
  <si>
    <t>光探头与光源距离X/cm</t>
    <phoneticPr fontId="1" type="noConversion"/>
  </si>
  <si>
    <t>1077*((sin((3.14*0.28*(x-1))/(0.6328)))^2)/(((3.14*0.28*(x-1))/(0.6328))^2)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</si>
</sst>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workbookViewId="0">
      <selection activeCell="F15" sqref="F15"/>
    </sheetView>
  </sheetViews>
  <sheetFormatPr defaultRowHeight="14" x14ac:dyDescent="0.3"/>
  <cols>
    <col min="1" max="2" width="9.9140625" customWidth="1"/>
    <col min="3" max="4" width="16.4140625" customWidth="1"/>
  </cols>
  <sheetData>
    <row r="1" spans="1:4" x14ac:dyDescent="0.3">
      <c r="A1" t="s">
        <v>1</v>
      </c>
      <c r="B1" t="s">
        <v>3</v>
      </c>
      <c r="C1" t="s">
        <v>4</v>
      </c>
    </row>
    <row r="2" spans="1:4" x14ac:dyDescent="0.3">
      <c r="A2">
        <v>49.945999999999998</v>
      </c>
      <c r="B2">
        <v>611</v>
      </c>
      <c r="C2" t="s">
        <v>5</v>
      </c>
      <c r="D2">
        <v>17</v>
      </c>
    </row>
    <row r="3" spans="1:4" x14ac:dyDescent="0.3">
      <c r="A3">
        <f>A2+0.1</f>
        <v>50.045999999999999</v>
      </c>
      <c r="B3">
        <v>612</v>
      </c>
      <c r="C3" t="s">
        <v>6</v>
      </c>
      <c r="D3">
        <v>19</v>
      </c>
    </row>
    <row r="4" spans="1:4" x14ac:dyDescent="0.3">
      <c r="A4">
        <f t="shared" ref="A4:A67" si="0">A3+0.1</f>
        <v>50.146000000000001</v>
      </c>
      <c r="B4">
        <v>617</v>
      </c>
      <c r="C4" t="s">
        <v>8</v>
      </c>
      <c r="D4">
        <v>117</v>
      </c>
    </row>
    <row r="5" spans="1:4" x14ac:dyDescent="0.3">
      <c r="A5">
        <f t="shared" si="0"/>
        <v>50.246000000000002</v>
      </c>
      <c r="B5">
        <v>624.70000000000005</v>
      </c>
      <c r="C5" t="s">
        <v>7</v>
      </c>
      <c r="D5">
        <v>0.15</v>
      </c>
    </row>
    <row r="6" spans="1:4" x14ac:dyDescent="0.3">
      <c r="A6">
        <f t="shared" si="0"/>
        <v>50.346000000000004</v>
      </c>
      <c r="B6">
        <v>612.9</v>
      </c>
      <c r="C6" t="s">
        <v>9</v>
      </c>
      <c r="D6">
        <v>8.3000000000000007</v>
      </c>
    </row>
    <row r="7" spans="1:4" x14ac:dyDescent="0.3">
      <c r="A7">
        <f t="shared" si="0"/>
        <v>50.446000000000005</v>
      </c>
      <c r="B7">
        <v>610</v>
      </c>
    </row>
    <row r="8" spans="1:4" x14ac:dyDescent="0.3">
      <c r="A8">
        <f t="shared" si="0"/>
        <v>50.546000000000006</v>
      </c>
      <c r="B8">
        <v>600.70000000000005</v>
      </c>
    </row>
    <row r="9" spans="1:4" x14ac:dyDescent="0.3">
      <c r="A9">
        <f t="shared" si="0"/>
        <v>50.646000000000008</v>
      </c>
      <c r="B9">
        <v>599.6</v>
      </c>
    </row>
    <row r="10" spans="1:4" x14ac:dyDescent="0.3">
      <c r="A10">
        <f t="shared" si="0"/>
        <v>50.746000000000009</v>
      </c>
      <c r="B10">
        <v>588.6</v>
      </c>
    </row>
    <row r="11" spans="1:4" x14ac:dyDescent="0.3">
      <c r="A11">
        <f t="shared" si="0"/>
        <v>50.846000000000011</v>
      </c>
      <c r="B11">
        <v>570.1</v>
      </c>
    </row>
    <row r="12" spans="1:4" x14ac:dyDescent="0.3">
      <c r="A12">
        <f t="shared" si="0"/>
        <v>50.946000000000012</v>
      </c>
      <c r="B12">
        <v>557.70000000000005</v>
      </c>
    </row>
    <row r="13" spans="1:4" x14ac:dyDescent="0.3">
      <c r="A13">
        <f t="shared" si="0"/>
        <v>51.046000000000014</v>
      </c>
      <c r="B13">
        <v>544.9</v>
      </c>
    </row>
    <row r="14" spans="1:4" x14ac:dyDescent="0.3">
      <c r="A14">
        <f t="shared" si="0"/>
        <v>51.146000000000015</v>
      </c>
      <c r="B14">
        <v>520.5</v>
      </c>
    </row>
    <row r="15" spans="1:4" x14ac:dyDescent="0.3">
      <c r="A15">
        <f t="shared" si="0"/>
        <v>51.246000000000016</v>
      </c>
      <c r="B15">
        <v>508.1</v>
      </c>
    </row>
    <row r="16" spans="1:4" x14ac:dyDescent="0.3">
      <c r="A16">
        <f t="shared" si="0"/>
        <v>51.346000000000018</v>
      </c>
      <c r="B16">
        <v>489.1</v>
      </c>
    </row>
    <row r="17" spans="1:2" x14ac:dyDescent="0.3">
      <c r="A17">
        <f t="shared" si="0"/>
        <v>51.446000000000019</v>
      </c>
      <c r="B17">
        <v>472.4</v>
      </c>
    </row>
    <row r="18" spans="1:2" x14ac:dyDescent="0.3">
      <c r="A18">
        <f t="shared" si="0"/>
        <v>51.546000000000021</v>
      </c>
      <c r="B18">
        <v>457.8</v>
      </c>
    </row>
    <row r="19" spans="1:2" x14ac:dyDescent="0.3">
      <c r="A19">
        <f t="shared" si="0"/>
        <v>51.646000000000022</v>
      </c>
      <c r="B19">
        <v>439.1</v>
      </c>
    </row>
    <row r="20" spans="1:2" x14ac:dyDescent="0.3">
      <c r="A20">
        <f t="shared" si="0"/>
        <v>51.746000000000024</v>
      </c>
      <c r="B20">
        <v>414</v>
      </c>
    </row>
    <row r="21" spans="1:2" x14ac:dyDescent="0.3">
      <c r="A21">
        <f t="shared" si="0"/>
        <v>51.846000000000025</v>
      </c>
      <c r="B21">
        <v>394.4</v>
      </c>
    </row>
    <row r="22" spans="1:2" x14ac:dyDescent="0.3">
      <c r="A22">
        <f t="shared" si="0"/>
        <v>51.946000000000026</v>
      </c>
      <c r="B22">
        <v>368.7</v>
      </c>
    </row>
    <row r="23" spans="1:2" x14ac:dyDescent="0.3">
      <c r="A23">
        <f t="shared" si="0"/>
        <v>52.046000000000028</v>
      </c>
      <c r="B23">
        <v>353</v>
      </c>
    </row>
    <row r="24" spans="1:2" x14ac:dyDescent="0.3">
      <c r="A24">
        <f t="shared" si="0"/>
        <v>52.146000000000029</v>
      </c>
      <c r="B24">
        <v>328.3</v>
      </c>
    </row>
    <row r="25" spans="1:2" x14ac:dyDescent="0.3">
      <c r="A25">
        <f t="shared" si="0"/>
        <v>52.246000000000031</v>
      </c>
      <c r="B25">
        <v>303.5</v>
      </c>
    </row>
    <row r="26" spans="1:2" x14ac:dyDescent="0.3">
      <c r="A26">
        <f t="shared" si="0"/>
        <v>52.346000000000032</v>
      </c>
      <c r="B26">
        <v>273.5</v>
      </c>
    </row>
    <row r="27" spans="1:2" x14ac:dyDescent="0.3">
      <c r="A27">
        <f t="shared" si="0"/>
        <v>52.446000000000033</v>
      </c>
      <c r="B27">
        <v>256.2</v>
      </c>
    </row>
    <row r="28" spans="1:2" x14ac:dyDescent="0.3">
      <c r="A28">
        <f t="shared" si="0"/>
        <v>52.546000000000035</v>
      </c>
      <c r="B28">
        <v>240.1</v>
      </c>
    </row>
    <row r="29" spans="1:2" x14ac:dyDescent="0.3">
      <c r="A29">
        <f t="shared" si="0"/>
        <v>52.646000000000036</v>
      </c>
      <c r="B29">
        <v>222.5</v>
      </c>
    </row>
    <row r="30" spans="1:2" x14ac:dyDescent="0.3">
      <c r="A30">
        <f t="shared" si="0"/>
        <v>52.746000000000038</v>
      </c>
      <c r="B30">
        <v>206.4</v>
      </c>
    </row>
    <row r="31" spans="1:2" x14ac:dyDescent="0.3">
      <c r="A31">
        <f t="shared" si="0"/>
        <v>52.846000000000039</v>
      </c>
      <c r="B31">
        <v>187.7</v>
      </c>
    </row>
    <row r="32" spans="1:2" x14ac:dyDescent="0.3">
      <c r="A32">
        <f t="shared" si="0"/>
        <v>52.946000000000041</v>
      </c>
      <c r="B32">
        <v>171</v>
      </c>
    </row>
    <row r="33" spans="1:2" x14ac:dyDescent="0.3">
      <c r="A33">
        <f t="shared" si="0"/>
        <v>53.046000000000042</v>
      </c>
      <c r="B33">
        <v>157.4</v>
      </c>
    </row>
    <row r="34" spans="1:2" x14ac:dyDescent="0.3">
      <c r="A34">
        <f t="shared" si="0"/>
        <v>53.146000000000043</v>
      </c>
      <c r="B34">
        <v>140.5</v>
      </c>
    </row>
    <row r="35" spans="1:2" x14ac:dyDescent="0.3">
      <c r="A35">
        <f t="shared" si="0"/>
        <v>53.246000000000045</v>
      </c>
      <c r="B35">
        <v>126.8</v>
      </c>
    </row>
    <row r="36" spans="1:2" x14ac:dyDescent="0.3">
      <c r="A36">
        <f t="shared" si="0"/>
        <v>53.346000000000046</v>
      </c>
      <c r="B36">
        <v>110.6</v>
      </c>
    </row>
    <row r="37" spans="1:2" x14ac:dyDescent="0.3">
      <c r="A37">
        <f t="shared" si="0"/>
        <v>53.446000000000048</v>
      </c>
      <c r="B37">
        <v>91.79</v>
      </c>
    </row>
    <row r="38" spans="1:2" x14ac:dyDescent="0.3">
      <c r="A38">
        <f t="shared" si="0"/>
        <v>53.546000000000049</v>
      </c>
      <c r="B38">
        <v>81.72</v>
      </c>
    </row>
    <row r="39" spans="1:2" x14ac:dyDescent="0.3">
      <c r="A39">
        <f t="shared" si="0"/>
        <v>53.646000000000051</v>
      </c>
      <c r="B39">
        <v>73.45</v>
      </c>
    </row>
    <row r="40" spans="1:2" x14ac:dyDescent="0.3">
      <c r="A40">
        <f t="shared" si="0"/>
        <v>53.746000000000052</v>
      </c>
      <c r="B40">
        <v>66.010000000000005</v>
      </c>
    </row>
    <row r="41" spans="1:2" x14ac:dyDescent="0.3">
      <c r="A41">
        <f t="shared" si="0"/>
        <v>53.846000000000053</v>
      </c>
      <c r="B41">
        <v>57.83</v>
      </c>
    </row>
    <row r="42" spans="1:2" x14ac:dyDescent="0.3">
      <c r="A42">
        <f t="shared" si="0"/>
        <v>53.946000000000055</v>
      </c>
      <c r="B42">
        <v>51.74</v>
      </c>
    </row>
    <row r="43" spans="1:2" x14ac:dyDescent="0.3">
      <c r="A43">
        <f t="shared" si="0"/>
        <v>54.046000000000056</v>
      </c>
      <c r="B43">
        <v>46.14</v>
      </c>
    </row>
    <row r="44" spans="1:2" x14ac:dyDescent="0.3">
      <c r="A44">
        <f t="shared" si="0"/>
        <v>54.146000000000058</v>
      </c>
      <c r="B44">
        <v>40.880000000000003</v>
      </c>
    </row>
    <row r="45" spans="1:2" x14ac:dyDescent="0.3">
      <c r="A45">
        <f t="shared" si="0"/>
        <v>54.246000000000059</v>
      </c>
      <c r="B45">
        <v>36.29</v>
      </c>
    </row>
    <row r="46" spans="1:2" x14ac:dyDescent="0.3">
      <c r="A46">
        <f t="shared" si="0"/>
        <v>54.34600000000006</v>
      </c>
      <c r="B46">
        <v>32.700000000000003</v>
      </c>
    </row>
    <row r="47" spans="1:2" x14ac:dyDescent="0.3">
      <c r="A47">
        <f t="shared" si="0"/>
        <v>54.446000000000062</v>
      </c>
      <c r="B47">
        <v>29.13</v>
      </c>
    </row>
    <row r="48" spans="1:2" x14ac:dyDescent="0.3">
      <c r="A48">
        <f t="shared" si="0"/>
        <v>54.546000000000063</v>
      </c>
      <c r="B48">
        <v>26.37</v>
      </c>
    </row>
    <row r="49" spans="1:2" x14ac:dyDescent="0.3">
      <c r="A49">
        <f t="shared" si="0"/>
        <v>54.646000000000065</v>
      </c>
      <c r="B49">
        <v>24.2</v>
      </c>
    </row>
    <row r="50" spans="1:2" x14ac:dyDescent="0.3">
      <c r="A50">
        <f t="shared" si="0"/>
        <v>54.746000000000066</v>
      </c>
      <c r="B50">
        <v>22.54</v>
      </c>
    </row>
    <row r="51" spans="1:2" x14ac:dyDescent="0.3">
      <c r="A51">
        <f t="shared" si="0"/>
        <v>54.846000000000068</v>
      </c>
      <c r="B51">
        <v>21.45</v>
      </c>
    </row>
    <row r="52" spans="1:2" x14ac:dyDescent="0.3">
      <c r="A52">
        <f t="shared" si="0"/>
        <v>54.946000000000069</v>
      </c>
      <c r="B52">
        <v>20.55</v>
      </c>
    </row>
    <row r="53" spans="1:2" x14ac:dyDescent="0.3">
      <c r="A53">
        <f t="shared" si="0"/>
        <v>55.04600000000007</v>
      </c>
      <c r="B53">
        <v>19.940000000000001</v>
      </c>
    </row>
    <row r="54" spans="1:2" x14ac:dyDescent="0.3">
      <c r="A54">
        <f t="shared" si="0"/>
        <v>55.146000000000072</v>
      </c>
      <c r="B54">
        <v>19.739999999999998</v>
      </c>
    </row>
    <row r="55" spans="1:2" x14ac:dyDescent="0.3">
      <c r="A55">
        <f t="shared" si="0"/>
        <v>55.246000000000073</v>
      </c>
      <c r="B55">
        <v>19.46</v>
      </c>
    </row>
    <row r="56" spans="1:2" x14ac:dyDescent="0.3">
      <c r="A56">
        <f t="shared" si="0"/>
        <v>55.346000000000075</v>
      </c>
      <c r="B56">
        <v>19.38</v>
      </c>
    </row>
    <row r="57" spans="1:2" x14ac:dyDescent="0.3">
      <c r="A57">
        <f t="shared" si="0"/>
        <v>55.446000000000076</v>
      </c>
      <c r="B57">
        <v>19.399999999999999</v>
      </c>
    </row>
    <row r="58" spans="1:2" x14ac:dyDescent="0.3">
      <c r="A58">
        <f t="shared" si="0"/>
        <v>55.546000000000078</v>
      </c>
      <c r="B58">
        <v>19.41</v>
      </c>
    </row>
    <row r="59" spans="1:2" x14ac:dyDescent="0.3">
      <c r="A59">
        <f t="shared" si="0"/>
        <v>55.646000000000079</v>
      </c>
      <c r="B59">
        <v>19.39</v>
      </c>
    </row>
    <row r="60" spans="1:2" x14ac:dyDescent="0.3">
      <c r="A60">
        <f t="shared" si="0"/>
        <v>55.74600000000008</v>
      </c>
      <c r="B60">
        <v>19.41</v>
      </c>
    </row>
    <row r="61" spans="1:2" x14ac:dyDescent="0.3">
      <c r="A61">
        <f t="shared" si="0"/>
        <v>55.846000000000082</v>
      </c>
      <c r="B61">
        <v>19.399999999999999</v>
      </c>
    </row>
    <row r="62" spans="1:2" x14ac:dyDescent="0.3">
      <c r="A62">
        <f>A61+0.1</f>
        <v>55.946000000000083</v>
      </c>
      <c r="B62">
        <v>19.3</v>
      </c>
    </row>
    <row r="63" spans="1:2" x14ac:dyDescent="0.3">
      <c r="A63">
        <f t="shared" si="0"/>
        <v>56.046000000000085</v>
      </c>
      <c r="B63">
        <v>19.29</v>
      </c>
    </row>
    <row r="64" spans="1:2" x14ac:dyDescent="0.3">
      <c r="A64">
        <f t="shared" si="0"/>
        <v>56.146000000000086</v>
      </c>
      <c r="B64">
        <v>19.079999999999998</v>
      </c>
    </row>
    <row r="65" spans="1:2" x14ac:dyDescent="0.3">
      <c r="A65">
        <f t="shared" si="0"/>
        <v>56.246000000000087</v>
      </c>
      <c r="B65">
        <v>18.850000000000001</v>
      </c>
    </row>
    <row r="66" spans="1:2" x14ac:dyDescent="0.3">
      <c r="A66">
        <f t="shared" si="0"/>
        <v>56.346000000000089</v>
      </c>
      <c r="B66">
        <v>18.47</v>
      </c>
    </row>
    <row r="67" spans="1:2" x14ac:dyDescent="0.3">
      <c r="A67">
        <f t="shared" si="0"/>
        <v>56.44600000000009</v>
      </c>
      <c r="B67">
        <v>18</v>
      </c>
    </row>
    <row r="68" spans="1:2" x14ac:dyDescent="0.3">
      <c r="A68">
        <f t="shared" ref="A68:A84" si="1">A67+0.1</f>
        <v>56.546000000000092</v>
      </c>
      <c r="B68">
        <v>17.29</v>
      </c>
    </row>
    <row r="69" spans="1:2" x14ac:dyDescent="0.3">
      <c r="A69">
        <f t="shared" si="1"/>
        <v>56.646000000000093</v>
      </c>
      <c r="B69">
        <v>16.89</v>
      </c>
    </row>
    <row r="70" spans="1:2" x14ac:dyDescent="0.3">
      <c r="A70">
        <f t="shared" si="1"/>
        <v>56.746000000000095</v>
      </c>
      <c r="B70">
        <v>16.329999999999998</v>
      </c>
    </row>
    <row r="71" spans="1:2" x14ac:dyDescent="0.3">
      <c r="A71">
        <f t="shared" si="1"/>
        <v>56.846000000000096</v>
      </c>
      <c r="B71">
        <v>15.8</v>
      </c>
    </row>
    <row r="72" spans="1:2" x14ac:dyDescent="0.3">
      <c r="A72">
        <f t="shared" si="1"/>
        <v>56.946000000000097</v>
      </c>
      <c r="B72">
        <v>15.2</v>
      </c>
    </row>
    <row r="73" spans="1:2" x14ac:dyDescent="0.3">
      <c r="A73">
        <f t="shared" si="1"/>
        <v>57.046000000000099</v>
      </c>
      <c r="B73">
        <v>14.49</v>
      </c>
    </row>
    <row r="74" spans="1:2" x14ac:dyDescent="0.3">
      <c r="A74">
        <f t="shared" si="1"/>
        <v>57.1460000000001</v>
      </c>
      <c r="B74">
        <v>13.93</v>
      </c>
    </row>
    <row r="75" spans="1:2" x14ac:dyDescent="0.3">
      <c r="A75">
        <f t="shared" si="1"/>
        <v>57.246000000000102</v>
      </c>
      <c r="B75">
        <v>13.26</v>
      </c>
    </row>
    <row r="76" spans="1:2" x14ac:dyDescent="0.3">
      <c r="A76">
        <f t="shared" si="1"/>
        <v>57.346000000000103</v>
      </c>
      <c r="B76">
        <v>12.47</v>
      </c>
    </row>
    <row r="77" spans="1:2" x14ac:dyDescent="0.3">
      <c r="A77">
        <f t="shared" si="1"/>
        <v>57.446000000000105</v>
      </c>
      <c r="B77">
        <v>11.78</v>
      </c>
    </row>
    <row r="78" spans="1:2" x14ac:dyDescent="0.3">
      <c r="A78">
        <f t="shared" si="1"/>
        <v>57.546000000000106</v>
      </c>
      <c r="B78">
        <v>11.2</v>
      </c>
    </row>
    <row r="79" spans="1:2" x14ac:dyDescent="0.3">
      <c r="A79">
        <f t="shared" si="1"/>
        <v>57.646000000000107</v>
      </c>
      <c r="B79">
        <v>10.65</v>
      </c>
    </row>
    <row r="80" spans="1:2" x14ac:dyDescent="0.3">
      <c r="A80">
        <f t="shared" si="1"/>
        <v>57.746000000000109</v>
      </c>
      <c r="B80">
        <v>10.17</v>
      </c>
    </row>
    <row r="81" spans="1:2" x14ac:dyDescent="0.3">
      <c r="A81">
        <f t="shared" si="1"/>
        <v>57.84600000000011</v>
      </c>
      <c r="B81">
        <v>9.6059999999999999</v>
      </c>
    </row>
    <row r="82" spans="1:2" x14ac:dyDescent="0.3">
      <c r="A82">
        <f t="shared" si="1"/>
        <v>57.946000000000112</v>
      </c>
      <c r="B82">
        <v>9.2140000000000004</v>
      </c>
    </row>
    <row r="83" spans="1:2" x14ac:dyDescent="0.3">
      <c r="A83">
        <f t="shared" si="1"/>
        <v>58.046000000000113</v>
      </c>
      <c r="B83">
        <v>8.8460000000000001</v>
      </c>
    </row>
    <row r="84" spans="1:2" x14ac:dyDescent="0.3">
      <c r="A84">
        <f t="shared" si="1"/>
        <v>58.146000000000114</v>
      </c>
      <c r="B84">
        <v>8.5570000000000004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652D-E05E-4420-A482-CAD0FE96B082}">
  <dimension ref="A1:D74"/>
  <sheetViews>
    <sheetView topLeftCell="A40" workbookViewId="0">
      <selection activeCell="G61" sqref="G61"/>
    </sheetView>
  </sheetViews>
  <sheetFormatPr defaultRowHeight="14" x14ac:dyDescent="0.3"/>
  <cols>
    <col min="1" max="2" width="12.08203125" customWidth="1"/>
    <col min="3" max="4" width="13.75" customWidth="1"/>
  </cols>
  <sheetData>
    <row r="1" spans="1:4" x14ac:dyDescent="0.3">
      <c r="A1" t="s">
        <v>1</v>
      </c>
      <c r="B1" t="s">
        <v>3</v>
      </c>
      <c r="C1" t="s">
        <v>4</v>
      </c>
    </row>
    <row r="2" spans="1:4" x14ac:dyDescent="0.3">
      <c r="A2">
        <v>50.1</v>
      </c>
      <c r="B2">
        <v>1076</v>
      </c>
      <c r="C2" t="s">
        <v>5</v>
      </c>
      <c r="D2">
        <v>17</v>
      </c>
    </row>
    <row r="3" spans="1:4" x14ac:dyDescent="0.3">
      <c r="A3">
        <f>A2+0.2</f>
        <v>50.300000000000004</v>
      </c>
      <c r="B3">
        <v>1076</v>
      </c>
      <c r="C3" t="s">
        <v>6</v>
      </c>
      <c r="D3">
        <v>19</v>
      </c>
    </row>
    <row r="4" spans="1:4" x14ac:dyDescent="0.3">
      <c r="A4">
        <f t="shared" ref="A4:A67" si="0">A3+0.2</f>
        <v>50.500000000000007</v>
      </c>
      <c r="B4">
        <v>1077</v>
      </c>
      <c r="C4" t="s">
        <v>8</v>
      </c>
      <c r="D4">
        <v>117</v>
      </c>
    </row>
    <row r="5" spans="1:4" x14ac:dyDescent="0.3">
      <c r="A5">
        <f t="shared" si="0"/>
        <v>50.70000000000001</v>
      </c>
      <c r="B5">
        <v>1076</v>
      </c>
      <c r="C5" t="s">
        <v>7</v>
      </c>
      <c r="D5">
        <v>0.15</v>
      </c>
    </row>
    <row r="6" spans="1:4" x14ac:dyDescent="0.3">
      <c r="A6">
        <f t="shared" si="0"/>
        <v>50.900000000000013</v>
      </c>
      <c r="B6">
        <v>1076</v>
      </c>
      <c r="C6" t="s">
        <v>9</v>
      </c>
      <c r="D6">
        <v>8.3000000000000007</v>
      </c>
    </row>
    <row r="7" spans="1:4" x14ac:dyDescent="0.3">
      <c r="A7">
        <f t="shared" si="0"/>
        <v>51.100000000000016</v>
      </c>
      <c r="B7">
        <v>1073</v>
      </c>
    </row>
    <row r="8" spans="1:4" x14ac:dyDescent="0.3">
      <c r="A8">
        <f t="shared" si="0"/>
        <v>51.300000000000018</v>
      </c>
      <c r="B8">
        <v>1064</v>
      </c>
    </row>
    <row r="9" spans="1:4" x14ac:dyDescent="0.3">
      <c r="A9">
        <f t="shared" si="0"/>
        <v>51.500000000000021</v>
      </c>
      <c r="B9">
        <v>1029</v>
      </c>
    </row>
    <row r="10" spans="1:4" x14ac:dyDescent="0.3">
      <c r="A10">
        <f t="shared" si="0"/>
        <v>51.700000000000024</v>
      </c>
      <c r="B10">
        <v>979.9</v>
      </c>
    </row>
    <row r="11" spans="1:4" x14ac:dyDescent="0.3">
      <c r="A11">
        <f t="shared" si="0"/>
        <v>51.900000000000027</v>
      </c>
      <c r="B11">
        <v>929.4</v>
      </c>
    </row>
    <row r="12" spans="1:4" x14ac:dyDescent="0.3">
      <c r="A12">
        <f t="shared" si="0"/>
        <v>52.10000000000003</v>
      </c>
      <c r="B12">
        <v>862.1</v>
      </c>
    </row>
    <row r="13" spans="1:4" x14ac:dyDescent="0.3">
      <c r="A13">
        <f t="shared" si="0"/>
        <v>52.300000000000033</v>
      </c>
      <c r="B13">
        <v>795.6</v>
      </c>
    </row>
    <row r="14" spans="1:4" x14ac:dyDescent="0.3">
      <c r="A14">
        <f t="shared" si="0"/>
        <v>52.500000000000036</v>
      </c>
      <c r="B14">
        <v>695.7</v>
      </c>
    </row>
    <row r="15" spans="1:4" x14ac:dyDescent="0.3">
      <c r="A15">
        <f t="shared" si="0"/>
        <v>52.700000000000038</v>
      </c>
      <c r="B15">
        <v>619.4</v>
      </c>
    </row>
    <row r="16" spans="1:4" x14ac:dyDescent="0.3">
      <c r="A16">
        <f t="shared" si="0"/>
        <v>52.900000000000041</v>
      </c>
      <c r="B16">
        <v>537.79999999999995</v>
      </c>
    </row>
    <row r="17" spans="1:2" x14ac:dyDescent="0.3">
      <c r="A17">
        <f t="shared" si="0"/>
        <v>53.100000000000044</v>
      </c>
      <c r="B17">
        <v>454</v>
      </c>
    </row>
    <row r="18" spans="1:2" x14ac:dyDescent="0.3">
      <c r="A18">
        <f t="shared" si="0"/>
        <v>53.300000000000047</v>
      </c>
      <c r="B18">
        <v>368.7</v>
      </c>
    </row>
    <row r="19" spans="1:2" x14ac:dyDescent="0.3">
      <c r="A19">
        <f t="shared" si="0"/>
        <v>53.50000000000005</v>
      </c>
      <c r="B19">
        <v>291</v>
      </c>
    </row>
    <row r="20" spans="1:2" x14ac:dyDescent="0.3">
      <c r="A20">
        <f t="shared" si="0"/>
        <v>53.700000000000053</v>
      </c>
      <c r="B20">
        <v>220.4</v>
      </c>
    </row>
    <row r="21" spans="1:2" x14ac:dyDescent="0.3">
      <c r="A21">
        <f t="shared" si="0"/>
        <v>53.900000000000055</v>
      </c>
      <c r="B21">
        <v>169.7</v>
      </c>
    </row>
    <row r="22" spans="1:2" x14ac:dyDescent="0.3">
      <c r="A22">
        <f t="shared" si="0"/>
        <v>54.100000000000058</v>
      </c>
      <c r="B22">
        <v>125.1</v>
      </c>
    </row>
    <row r="23" spans="1:2" x14ac:dyDescent="0.3">
      <c r="A23">
        <f t="shared" si="0"/>
        <v>54.300000000000061</v>
      </c>
      <c r="B23">
        <v>74.930000000000007</v>
      </c>
    </row>
    <row r="24" spans="1:2" x14ac:dyDescent="0.3">
      <c r="A24">
        <f t="shared" si="0"/>
        <v>54.500000000000064</v>
      </c>
      <c r="B24">
        <v>53.22</v>
      </c>
    </row>
    <row r="25" spans="1:2" x14ac:dyDescent="0.3">
      <c r="A25">
        <f t="shared" si="0"/>
        <v>54.700000000000067</v>
      </c>
      <c r="B25">
        <v>39.25</v>
      </c>
    </row>
    <row r="26" spans="1:2" x14ac:dyDescent="0.3">
      <c r="A26">
        <f t="shared" si="0"/>
        <v>54.90000000000007</v>
      </c>
      <c r="B26">
        <v>30.44</v>
      </c>
    </row>
    <row r="27" spans="1:2" x14ac:dyDescent="0.3">
      <c r="A27">
        <f t="shared" si="0"/>
        <v>55.100000000000072</v>
      </c>
      <c r="B27">
        <v>25.97</v>
      </c>
    </row>
    <row r="28" spans="1:2" x14ac:dyDescent="0.3">
      <c r="A28">
        <f t="shared" si="0"/>
        <v>55.300000000000075</v>
      </c>
      <c r="B28">
        <v>24.5</v>
      </c>
    </row>
    <row r="29" spans="1:2" x14ac:dyDescent="0.3">
      <c r="A29">
        <f t="shared" si="0"/>
        <v>55.500000000000078</v>
      </c>
      <c r="B29">
        <v>24.86</v>
      </c>
    </row>
    <row r="30" spans="1:2" x14ac:dyDescent="0.3">
      <c r="A30">
        <f t="shared" si="0"/>
        <v>55.700000000000081</v>
      </c>
      <c r="B30">
        <v>25.81</v>
      </c>
    </row>
    <row r="31" spans="1:2" x14ac:dyDescent="0.3">
      <c r="A31">
        <f t="shared" si="0"/>
        <v>55.900000000000084</v>
      </c>
      <c r="B31">
        <v>26.25</v>
      </c>
    </row>
    <row r="32" spans="1:2" x14ac:dyDescent="0.3">
      <c r="A32">
        <f t="shared" si="0"/>
        <v>56.100000000000087</v>
      </c>
      <c r="B32">
        <v>25.89</v>
      </c>
    </row>
    <row r="33" spans="1:2" x14ac:dyDescent="0.3">
      <c r="A33">
        <f t="shared" si="0"/>
        <v>56.30000000000009</v>
      </c>
      <c r="B33">
        <v>24.29</v>
      </c>
    </row>
    <row r="34" spans="1:2" x14ac:dyDescent="0.3">
      <c r="A34">
        <f t="shared" si="0"/>
        <v>56.500000000000092</v>
      </c>
      <c r="B34">
        <v>21.52</v>
      </c>
    </row>
    <row r="35" spans="1:2" x14ac:dyDescent="0.3">
      <c r="A35">
        <f t="shared" si="0"/>
        <v>56.700000000000095</v>
      </c>
      <c r="B35">
        <v>18.850000000000001</v>
      </c>
    </row>
    <row r="36" spans="1:2" x14ac:dyDescent="0.3">
      <c r="A36">
        <f t="shared" si="0"/>
        <v>56.900000000000098</v>
      </c>
      <c r="B36">
        <v>15.86</v>
      </c>
    </row>
    <row r="37" spans="1:2" x14ac:dyDescent="0.3">
      <c r="A37">
        <f t="shared" si="0"/>
        <v>57.100000000000101</v>
      </c>
      <c r="B37">
        <v>13.25</v>
      </c>
    </row>
    <row r="38" spans="1:2" x14ac:dyDescent="0.3">
      <c r="A38">
        <f t="shared" si="0"/>
        <v>57.300000000000104</v>
      </c>
      <c r="B38">
        <v>11.3</v>
      </c>
    </row>
    <row r="39" spans="1:2" x14ac:dyDescent="0.3">
      <c r="A39">
        <f t="shared" si="0"/>
        <v>57.500000000000107</v>
      </c>
      <c r="B39">
        <v>9.7010000000000005</v>
      </c>
    </row>
    <row r="40" spans="1:2" x14ac:dyDescent="0.3">
      <c r="A40">
        <f t="shared" si="0"/>
        <v>57.700000000000109</v>
      </c>
      <c r="B40">
        <v>9.0809999999999995</v>
      </c>
    </row>
    <row r="41" spans="1:2" x14ac:dyDescent="0.3">
      <c r="A41">
        <f t="shared" si="0"/>
        <v>57.900000000000112</v>
      </c>
      <c r="B41">
        <v>9.0229999999999997</v>
      </c>
    </row>
    <row r="42" spans="1:2" x14ac:dyDescent="0.3">
      <c r="A42">
        <f t="shared" si="0"/>
        <v>58.100000000000115</v>
      </c>
      <c r="B42">
        <v>9.3369999999999997</v>
      </c>
    </row>
    <row r="43" spans="1:2" x14ac:dyDescent="0.3">
      <c r="A43">
        <f t="shared" si="0"/>
        <v>58.300000000000118</v>
      </c>
      <c r="B43">
        <v>9.8719999999999999</v>
      </c>
    </row>
    <row r="44" spans="1:2" x14ac:dyDescent="0.3">
      <c r="A44">
        <f t="shared" si="0"/>
        <v>58.500000000000121</v>
      </c>
      <c r="B44">
        <v>10.33</v>
      </c>
    </row>
    <row r="45" spans="1:2" x14ac:dyDescent="0.3">
      <c r="A45">
        <f t="shared" si="0"/>
        <v>58.700000000000124</v>
      </c>
      <c r="B45">
        <v>10.48</v>
      </c>
    </row>
    <row r="46" spans="1:2" x14ac:dyDescent="0.3">
      <c r="A46">
        <f t="shared" si="0"/>
        <v>58.900000000000126</v>
      </c>
      <c r="B46">
        <v>10.28</v>
      </c>
    </row>
    <row r="47" spans="1:2" x14ac:dyDescent="0.3">
      <c r="A47">
        <f t="shared" si="0"/>
        <v>59.100000000000129</v>
      </c>
      <c r="B47">
        <v>9.7690000000000001</v>
      </c>
    </row>
    <row r="48" spans="1:2" x14ac:dyDescent="0.3">
      <c r="A48">
        <f t="shared" si="0"/>
        <v>59.300000000000132</v>
      </c>
      <c r="B48">
        <v>8.9049999999999994</v>
      </c>
    </row>
    <row r="49" spans="1:2" x14ac:dyDescent="0.3">
      <c r="A49">
        <f t="shared" si="0"/>
        <v>59.500000000000135</v>
      </c>
      <c r="B49">
        <v>7.81</v>
      </c>
    </row>
    <row r="50" spans="1:2" x14ac:dyDescent="0.3">
      <c r="A50">
        <f t="shared" si="0"/>
        <v>59.700000000000138</v>
      </c>
      <c r="B50">
        <v>6.883</v>
      </c>
    </row>
    <row r="51" spans="1:2" x14ac:dyDescent="0.3">
      <c r="A51">
        <f t="shared" si="0"/>
        <v>59.900000000000141</v>
      </c>
      <c r="B51">
        <v>6.1040000000000001</v>
      </c>
    </row>
    <row r="52" spans="1:2" x14ac:dyDescent="0.3">
      <c r="A52">
        <f t="shared" si="0"/>
        <v>60.100000000000144</v>
      </c>
      <c r="B52">
        <v>5.4969999999999999</v>
      </c>
    </row>
    <row r="53" spans="1:2" x14ac:dyDescent="0.3">
      <c r="A53">
        <f t="shared" si="0"/>
        <v>60.300000000000146</v>
      </c>
      <c r="B53">
        <v>5.23</v>
      </c>
    </row>
    <row r="54" spans="1:2" x14ac:dyDescent="0.3">
      <c r="A54">
        <f t="shared" si="0"/>
        <v>60.500000000000149</v>
      </c>
      <c r="B54">
        <v>5.2460000000000004</v>
      </c>
    </row>
    <row r="55" spans="1:2" x14ac:dyDescent="0.3">
      <c r="A55">
        <f t="shared" si="0"/>
        <v>60.700000000000152</v>
      </c>
      <c r="B55">
        <v>5.4509999999999996</v>
      </c>
    </row>
    <row r="56" spans="1:2" x14ac:dyDescent="0.3">
      <c r="A56">
        <f t="shared" si="0"/>
        <v>60.900000000000155</v>
      </c>
      <c r="B56">
        <v>5.73</v>
      </c>
    </row>
    <row r="57" spans="1:2" x14ac:dyDescent="0.3">
      <c r="A57">
        <f t="shared" si="0"/>
        <v>61.100000000000158</v>
      </c>
      <c r="B57">
        <v>5.9649999999999999</v>
      </c>
    </row>
    <row r="58" spans="1:2" x14ac:dyDescent="0.3">
      <c r="A58">
        <f t="shared" si="0"/>
        <v>61.300000000000161</v>
      </c>
      <c r="B58">
        <v>6.1</v>
      </c>
    </row>
    <row r="59" spans="1:2" x14ac:dyDescent="0.3">
      <c r="A59">
        <f t="shared" si="0"/>
        <v>61.500000000000163</v>
      </c>
      <c r="B59">
        <v>6.0419999999999998</v>
      </c>
    </row>
    <row r="60" spans="1:2" x14ac:dyDescent="0.3">
      <c r="A60">
        <f t="shared" si="0"/>
        <v>61.700000000000166</v>
      </c>
      <c r="B60">
        <v>5.8079999999999998</v>
      </c>
    </row>
    <row r="61" spans="1:2" x14ac:dyDescent="0.3">
      <c r="A61">
        <f t="shared" si="0"/>
        <v>61.900000000000169</v>
      </c>
      <c r="B61">
        <v>5.407</v>
      </c>
    </row>
    <row r="62" spans="1:2" x14ac:dyDescent="0.3">
      <c r="A62">
        <f t="shared" si="0"/>
        <v>62.100000000000172</v>
      </c>
      <c r="B62">
        <v>4.9180000000000001</v>
      </c>
    </row>
    <row r="63" spans="1:2" x14ac:dyDescent="0.3">
      <c r="A63">
        <f t="shared" si="0"/>
        <v>62.300000000000175</v>
      </c>
      <c r="B63">
        <v>4.4059999999999997</v>
      </c>
    </row>
    <row r="64" spans="1:2" x14ac:dyDescent="0.3">
      <c r="A64">
        <f t="shared" si="0"/>
        <v>62.500000000000178</v>
      </c>
      <c r="B64">
        <v>3.9249999999999998</v>
      </c>
    </row>
    <row r="65" spans="1:2" x14ac:dyDescent="0.3">
      <c r="A65">
        <f t="shared" si="0"/>
        <v>62.70000000000018</v>
      </c>
      <c r="B65">
        <v>3.6</v>
      </c>
    </row>
    <row r="66" spans="1:2" x14ac:dyDescent="0.3">
      <c r="A66">
        <f t="shared" si="0"/>
        <v>62.900000000000183</v>
      </c>
      <c r="B66">
        <v>3.4729999999999999</v>
      </c>
    </row>
    <row r="67" spans="1:2" x14ac:dyDescent="0.3">
      <c r="A67">
        <f t="shared" si="0"/>
        <v>63.100000000000186</v>
      </c>
      <c r="B67">
        <v>3.47</v>
      </c>
    </row>
    <row r="68" spans="1:2" x14ac:dyDescent="0.3">
      <c r="A68">
        <f t="shared" ref="A68:A74" si="1">A67+0.2</f>
        <v>63.300000000000189</v>
      </c>
      <c r="B68">
        <v>3.57</v>
      </c>
    </row>
    <row r="69" spans="1:2" x14ac:dyDescent="0.3">
      <c r="A69">
        <f t="shared" si="1"/>
        <v>63.500000000000192</v>
      </c>
      <c r="B69">
        <v>3.9660000000000002</v>
      </c>
    </row>
    <row r="70" spans="1:2" x14ac:dyDescent="0.3">
      <c r="A70">
        <f t="shared" si="1"/>
        <v>63.700000000000195</v>
      </c>
      <c r="B70">
        <v>4.0919999999999996</v>
      </c>
    </row>
    <row r="71" spans="1:2" x14ac:dyDescent="0.3">
      <c r="A71">
        <f t="shared" si="1"/>
        <v>63.900000000000198</v>
      </c>
      <c r="B71">
        <v>3.887</v>
      </c>
    </row>
    <row r="72" spans="1:2" x14ac:dyDescent="0.3">
      <c r="A72">
        <f t="shared" si="1"/>
        <v>64.100000000000193</v>
      </c>
      <c r="B72">
        <v>3.7759999999999998</v>
      </c>
    </row>
    <row r="73" spans="1:2" x14ac:dyDescent="0.3">
      <c r="A73">
        <f t="shared" si="1"/>
        <v>64.300000000000196</v>
      </c>
      <c r="B73">
        <v>3.4990000000000001</v>
      </c>
    </row>
    <row r="74" spans="1:2" x14ac:dyDescent="0.3">
      <c r="A74">
        <f t="shared" si="1"/>
        <v>64.500000000000199</v>
      </c>
      <c r="B74">
        <v>3.2370000000000001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DD4E-BC9C-47BF-873D-3B4BCB2ED5CE}">
  <dimension ref="A1:D23"/>
  <sheetViews>
    <sheetView tabSelected="1" workbookViewId="0">
      <selection activeCell="A12" sqref="A12:B23"/>
    </sheetView>
  </sheetViews>
  <sheetFormatPr defaultRowHeight="14" x14ac:dyDescent="0.3"/>
  <cols>
    <col min="1" max="2" width="12.33203125" customWidth="1"/>
    <col min="3" max="4" width="14.58203125" customWidth="1"/>
  </cols>
  <sheetData>
    <row r="1" spans="1:4" x14ac:dyDescent="0.3">
      <c r="A1" t="s">
        <v>1</v>
      </c>
      <c r="B1" t="s">
        <v>3</v>
      </c>
      <c r="C1" t="s">
        <v>4</v>
      </c>
    </row>
    <row r="2" spans="1:4" x14ac:dyDescent="0.3">
      <c r="A2">
        <v>50</v>
      </c>
      <c r="B2">
        <v>1088</v>
      </c>
      <c r="C2" t="s">
        <v>5</v>
      </c>
      <c r="D2">
        <v>17</v>
      </c>
    </row>
    <row r="3" spans="1:4" x14ac:dyDescent="0.3">
      <c r="A3">
        <f>A2+0.3</f>
        <v>50.3</v>
      </c>
      <c r="B3">
        <v>1069</v>
      </c>
      <c r="C3" t="s">
        <v>6</v>
      </c>
      <c r="D3">
        <v>19</v>
      </c>
    </row>
    <row r="4" spans="1:4" x14ac:dyDescent="0.3">
      <c r="A4">
        <f t="shared" ref="A4:A23" si="0">A3+0.3</f>
        <v>50.599999999999994</v>
      </c>
      <c r="B4">
        <v>996.4</v>
      </c>
      <c r="C4" t="s">
        <v>8</v>
      </c>
      <c r="D4">
        <v>117</v>
      </c>
    </row>
    <row r="5" spans="1:4" x14ac:dyDescent="0.3">
      <c r="A5">
        <f t="shared" si="0"/>
        <v>50.899999999999991</v>
      </c>
      <c r="B5">
        <v>916</v>
      </c>
      <c r="C5" t="s">
        <v>7</v>
      </c>
      <c r="D5">
        <v>0.15</v>
      </c>
    </row>
    <row r="6" spans="1:4" x14ac:dyDescent="0.3">
      <c r="A6">
        <f t="shared" si="0"/>
        <v>51.199999999999989</v>
      </c>
      <c r="B6">
        <v>805.7</v>
      </c>
      <c r="C6" t="s">
        <v>9</v>
      </c>
      <c r="D6">
        <v>6</v>
      </c>
    </row>
    <row r="7" spans="1:4" x14ac:dyDescent="0.3">
      <c r="A7">
        <f t="shared" si="0"/>
        <v>51.499999999999986</v>
      </c>
      <c r="B7">
        <v>668.2</v>
      </c>
    </row>
    <row r="8" spans="1:4" x14ac:dyDescent="0.3">
      <c r="A8">
        <f t="shared" si="0"/>
        <v>51.799999999999983</v>
      </c>
      <c r="B8">
        <v>553.9</v>
      </c>
    </row>
    <row r="9" spans="1:4" x14ac:dyDescent="0.3">
      <c r="A9">
        <f t="shared" si="0"/>
        <v>52.09999999999998</v>
      </c>
      <c r="B9">
        <v>424</v>
      </c>
    </row>
    <row r="10" spans="1:4" x14ac:dyDescent="0.3">
      <c r="A10">
        <f t="shared" si="0"/>
        <v>52.399999999999977</v>
      </c>
      <c r="B10">
        <v>307.10000000000002</v>
      </c>
    </row>
    <row r="11" spans="1:4" x14ac:dyDescent="0.3">
      <c r="A11">
        <f t="shared" si="0"/>
        <v>52.699999999999974</v>
      </c>
      <c r="B11">
        <v>203.8</v>
      </c>
    </row>
    <row r="12" spans="1:4" x14ac:dyDescent="0.3">
      <c r="A12">
        <f t="shared" si="0"/>
        <v>52.999999999999972</v>
      </c>
      <c r="B12">
        <v>126.8</v>
      </c>
    </row>
    <row r="13" spans="1:4" x14ac:dyDescent="0.3">
      <c r="A13">
        <f t="shared" si="0"/>
        <v>53.299999999999969</v>
      </c>
      <c r="B13">
        <v>73.2</v>
      </c>
    </row>
    <row r="14" spans="1:4" x14ac:dyDescent="0.3">
      <c r="A14">
        <f t="shared" si="0"/>
        <v>53.599999999999966</v>
      </c>
      <c r="B14">
        <v>39.71</v>
      </c>
    </row>
    <row r="15" spans="1:4" x14ac:dyDescent="0.3">
      <c r="A15">
        <f t="shared" si="0"/>
        <v>53.899999999999963</v>
      </c>
      <c r="B15">
        <v>26.66</v>
      </c>
    </row>
    <row r="16" spans="1:4" x14ac:dyDescent="0.3">
      <c r="A16">
        <f>A15+0.3</f>
        <v>54.19999999999996</v>
      </c>
      <c r="B16">
        <v>22.83</v>
      </c>
    </row>
    <row r="17" spans="1:2" x14ac:dyDescent="0.3">
      <c r="A17">
        <f t="shared" si="0"/>
        <v>54.499999999999957</v>
      </c>
      <c r="B17">
        <v>22.7</v>
      </c>
    </row>
    <row r="18" spans="1:2" x14ac:dyDescent="0.3">
      <c r="A18">
        <f t="shared" si="0"/>
        <v>54.799999999999955</v>
      </c>
      <c r="B18">
        <v>23.77</v>
      </c>
    </row>
    <row r="19" spans="1:2" x14ac:dyDescent="0.3">
      <c r="A19">
        <f t="shared" si="0"/>
        <v>55.099999999999952</v>
      </c>
      <c r="B19">
        <v>23.49</v>
      </c>
    </row>
    <row r="20" spans="1:2" x14ac:dyDescent="0.3">
      <c r="A20">
        <f t="shared" si="0"/>
        <v>55.399999999999949</v>
      </c>
      <c r="B20">
        <v>20.87</v>
      </c>
    </row>
    <row r="21" spans="1:2" x14ac:dyDescent="0.3">
      <c r="A21">
        <f t="shared" si="0"/>
        <v>55.699999999999946</v>
      </c>
      <c r="B21">
        <v>17.2</v>
      </c>
    </row>
    <row r="22" spans="1:2" x14ac:dyDescent="0.3">
      <c r="A22">
        <f t="shared" si="0"/>
        <v>55.999999999999943</v>
      </c>
      <c r="B22">
        <v>13.21</v>
      </c>
    </row>
    <row r="23" spans="1:2" x14ac:dyDescent="0.3">
      <c r="A23">
        <f t="shared" si="0"/>
        <v>56.29999999999994</v>
      </c>
      <c r="B23">
        <v>10.51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699C-7877-41D2-A9FC-5223A4528C3B}">
  <dimension ref="A1:H14"/>
  <sheetViews>
    <sheetView workbookViewId="0">
      <selection activeCell="J13" sqref="J13"/>
    </sheetView>
  </sheetViews>
  <sheetFormatPr defaultRowHeight="14" x14ac:dyDescent="0.3"/>
  <cols>
    <col min="1" max="2" width="26.08203125" customWidth="1"/>
  </cols>
  <sheetData>
    <row r="1" spans="1:8" x14ac:dyDescent="0.3">
      <c r="A1" t="s">
        <v>10</v>
      </c>
      <c r="B1" t="s">
        <v>3</v>
      </c>
    </row>
    <row r="2" spans="1:8" x14ac:dyDescent="0.3">
      <c r="A2">
        <v>20</v>
      </c>
      <c r="B2">
        <v>595</v>
      </c>
      <c r="C2">
        <f>1/(A2*A2)</f>
        <v>2.5000000000000001E-3</v>
      </c>
      <c r="D2">
        <f>LN(B2)</f>
        <v>6.3885614055456301</v>
      </c>
      <c r="E2">
        <f>LN(A2)</f>
        <v>2.9957322735539909</v>
      </c>
      <c r="F2">
        <v>20</v>
      </c>
      <c r="G2">
        <f>LN(F2)</f>
        <v>2.9957322735539909</v>
      </c>
      <c r="H2">
        <f>1/(F2*F2)</f>
        <v>2.5000000000000001E-3</v>
      </c>
    </row>
    <row r="3" spans="1:8" x14ac:dyDescent="0.3">
      <c r="A3">
        <f>A2+5</f>
        <v>25</v>
      </c>
      <c r="B3">
        <v>388</v>
      </c>
      <c r="C3">
        <f t="shared" ref="C3:C14" si="0">1/(A3*A3)</f>
        <v>1.6000000000000001E-3</v>
      </c>
      <c r="D3">
        <f t="shared" ref="D3:D14" si="1">LN(B3)</f>
        <v>5.9610053396232736</v>
      </c>
      <c r="E3">
        <f t="shared" ref="E3:E14" si="2">LN(A3)</f>
        <v>3.2188758248682006</v>
      </c>
      <c r="F3">
        <f>F2+5</f>
        <v>25</v>
      </c>
      <c r="G3">
        <f t="shared" ref="G3:G14" si="3">LN(F3)</f>
        <v>3.2188758248682006</v>
      </c>
      <c r="H3">
        <f t="shared" ref="H3:H14" si="4">1/(F3*F3)</f>
        <v>1.6000000000000001E-3</v>
      </c>
    </row>
    <row r="4" spans="1:8" x14ac:dyDescent="0.3">
      <c r="A4">
        <f t="shared" ref="A4:A8" si="5">A3+5</f>
        <v>30</v>
      </c>
      <c r="B4">
        <v>269</v>
      </c>
      <c r="C4">
        <f t="shared" si="0"/>
        <v>1.1111111111111111E-3</v>
      </c>
      <c r="D4">
        <f t="shared" si="1"/>
        <v>5.5947113796018391</v>
      </c>
      <c r="E4">
        <f t="shared" si="2"/>
        <v>3.4011973816621555</v>
      </c>
      <c r="F4">
        <f t="shared" ref="F4:F8" si="6">F3+5</f>
        <v>30</v>
      </c>
      <c r="G4">
        <f t="shared" si="3"/>
        <v>3.4011973816621555</v>
      </c>
      <c r="H4">
        <f t="shared" si="4"/>
        <v>1.1111111111111111E-3</v>
      </c>
    </row>
    <row r="5" spans="1:8" x14ac:dyDescent="0.3">
      <c r="A5">
        <f t="shared" si="5"/>
        <v>35</v>
      </c>
      <c r="B5">
        <v>198</v>
      </c>
      <c r="C5">
        <f t="shared" si="0"/>
        <v>8.1632653061224493E-4</v>
      </c>
      <c r="D5">
        <f t="shared" si="1"/>
        <v>5.2882670306945352</v>
      </c>
      <c r="E5">
        <f t="shared" si="2"/>
        <v>3.5553480614894135</v>
      </c>
      <c r="F5">
        <f t="shared" si="6"/>
        <v>35</v>
      </c>
      <c r="G5">
        <f t="shared" si="3"/>
        <v>3.5553480614894135</v>
      </c>
      <c r="H5">
        <f t="shared" si="4"/>
        <v>8.1632653061224493E-4</v>
      </c>
    </row>
    <row r="6" spans="1:8" x14ac:dyDescent="0.3">
      <c r="A6">
        <f t="shared" si="5"/>
        <v>40</v>
      </c>
      <c r="B6">
        <v>152</v>
      </c>
      <c r="C6">
        <f t="shared" si="0"/>
        <v>6.2500000000000001E-4</v>
      </c>
      <c r="D6">
        <f t="shared" si="1"/>
        <v>5.0238805208462765</v>
      </c>
      <c r="E6">
        <f t="shared" si="2"/>
        <v>3.6888794541139363</v>
      </c>
      <c r="F6">
        <f t="shared" si="6"/>
        <v>40</v>
      </c>
      <c r="G6">
        <f t="shared" si="3"/>
        <v>3.6888794541139363</v>
      </c>
      <c r="H6">
        <f t="shared" si="4"/>
        <v>6.2500000000000001E-4</v>
      </c>
    </row>
    <row r="7" spans="1:8" x14ac:dyDescent="0.3">
      <c r="A7">
        <f t="shared" si="5"/>
        <v>45</v>
      </c>
      <c r="B7">
        <v>119</v>
      </c>
      <c r="C7">
        <f t="shared" si="0"/>
        <v>4.9382716049382717E-4</v>
      </c>
      <c r="D7">
        <f t="shared" si="1"/>
        <v>4.7791234931115296</v>
      </c>
      <c r="E7">
        <f t="shared" si="2"/>
        <v>3.8066624897703196</v>
      </c>
      <c r="F7">
        <f t="shared" si="6"/>
        <v>45</v>
      </c>
      <c r="G7">
        <f t="shared" si="3"/>
        <v>3.8066624897703196</v>
      </c>
      <c r="H7">
        <f t="shared" si="4"/>
        <v>4.9382716049382717E-4</v>
      </c>
    </row>
    <row r="8" spans="1:8" x14ac:dyDescent="0.3">
      <c r="A8">
        <f t="shared" si="5"/>
        <v>50</v>
      </c>
      <c r="B8">
        <v>97</v>
      </c>
      <c r="C8">
        <f t="shared" si="0"/>
        <v>4.0000000000000002E-4</v>
      </c>
      <c r="D8">
        <f t="shared" si="1"/>
        <v>4.5747109785033828</v>
      </c>
      <c r="E8">
        <f t="shared" si="2"/>
        <v>3.912023005428146</v>
      </c>
      <c r="F8">
        <f t="shared" si="6"/>
        <v>50</v>
      </c>
      <c r="G8">
        <f t="shared" si="3"/>
        <v>3.912023005428146</v>
      </c>
      <c r="H8">
        <f t="shared" si="4"/>
        <v>4.0000000000000002E-4</v>
      </c>
    </row>
    <row r="9" spans="1:8" x14ac:dyDescent="0.3">
      <c r="A9">
        <v>65</v>
      </c>
      <c r="B9">
        <v>79.569999999999993</v>
      </c>
      <c r="C9">
        <f t="shared" si="0"/>
        <v>2.3668639053254438E-4</v>
      </c>
      <c r="D9">
        <f t="shared" si="1"/>
        <v>4.3766371373894435</v>
      </c>
      <c r="E9">
        <f t="shared" si="2"/>
        <v>4.1743872698956368</v>
      </c>
      <c r="F9">
        <f>A9-10</f>
        <v>55</v>
      </c>
      <c r="G9">
        <f t="shared" si="3"/>
        <v>4.0073331852324712</v>
      </c>
      <c r="H9">
        <f t="shared" si="4"/>
        <v>3.3057851239669424E-4</v>
      </c>
    </row>
    <row r="10" spans="1:8" x14ac:dyDescent="0.3">
      <c r="A10">
        <v>70</v>
      </c>
      <c r="B10">
        <v>66.63</v>
      </c>
      <c r="C10">
        <f t="shared" si="0"/>
        <v>2.0408163265306123E-4</v>
      </c>
      <c r="D10">
        <f t="shared" si="1"/>
        <v>4.1991549265744457</v>
      </c>
      <c r="E10">
        <f t="shared" si="2"/>
        <v>4.2484952420493594</v>
      </c>
      <c r="F10">
        <f t="shared" ref="F10:F14" si="7">A10-10</f>
        <v>60</v>
      </c>
      <c r="G10">
        <f t="shared" si="3"/>
        <v>4.0943445622221004</v>
      </c>
      <c r="H10">
        <f t="shared" si="4"/>
        <v>2.7777777777777778E-4</v>
      </c>
    </row>
    <row r="11" spans="1:8" x14ac:dyDescent="0.3">
      <c r="A11">
        <v>75</v>
      </c>
      <c r="B11">
        <v>56.65</v>
      </c>
      <c r="C11">
        <f t="shared" si="0"/>
        <v>1.7777777777777779E-4</v>
      </c>
      <c r="D11">
        <f t="shared" si="1"/>
        <v>4.0368919874740152</v>
      </c>
      <c r="E11">
        <f t="shared" si="2"/>
        <v>4.3174881135363101</v>
      </c>
      <c r="F11">
        <f t="shared" si="7"/>
        <v>65</v>
      </c>
      <c r="G11">
        <f t="shared" si="3"/>
        <v>4.1743872698956368</v>
      </c>
      <c r="H11">
        <f t="shared" si="4"/>
        <v>2.3668639053254438E-4</v>
      </c>
    </row>
    <row r="12" spans="1:8" x14ac:dyDescent="0.3">
      <c r="A12">
        <v>80</v>
      </c>
      <c r="B12">
        <v>48.82</v>
      </c>
      <c r="C12">
        <f t="shared" si="0"/>
        <v>1.5625E-4</v>
      </c>
      <c r="D12">
        <f t="shared" si="1"/>
        <v>3.8881400649648139</v>
      </c>
      <c r="E12">
        <f t="shared" si="2"/>
        <v>4.3820266346738812</v>
      </c>
      <c r="F12">
        <f t="shared" si="7"/>
        <v>70</v>
      </c>
      <c r="G12">
        <f t="shared" si="3"/>
        <v>4.2484952420493594</v>
      </c>
      <c r="H12">
        <f t="shared" si="4"/>
        <v>2.0408163265306123E-4</v>
      </c>
    </row>
    <row r="13" spans="1:8" x14ac:dyDescent="0.3">
      <c r="A13">
        <v>85</v>
      </c>
      <c r="B13">
        <v>42.5</v>
      </c>
      <c r="C13">
        <f t="shared" si="0"/>
        <v>1.3840830449826991E-4</v>
      </c>
      <c r="D13">
        <f t="shared" si="1"/>
        <v>3.7495040759303713</v>
      </c>
      <c r="E13">
        <f t="shared" si="2"/>
        <v>4.4426512564903167</v>
      </c>
      <c r="F13">
        <f t="shared" si="7"/>
        <v>75</v>
      </c>
      <c r="G13">
        <f t="shared" si="3"/>
        <v>4.3174881135363101</v>
      </c>
      <c r="H13">
        <f t="shared" si="4"/>
        <v>1.7777777777777779E-4</v>
      </c>
    </row>
    <row r="14" spans="1:8" x14ac:dyDescent="0.3">
      <c r="A14">
        <v>90</v>
      </c>
      <c r="B14">
        <v>37.33</v>
      </c>
      <c r="C14">
        <f t="shared" si="0"/>
        <v>1.2345679012345679E-4</v>
      </c>
      <c r="D14">
        <f t="shared" si="1"/>
        <v>3.6197972929264925</v>
      </c>
      <c r="E14">
        <f t="shared" si="2"/>
        <v>4.499809670330265</v>
      </c>
      <c r="F14">
        <f t="shared" si="7"/>
        <v>80</v>
      </c>
      <c r="G14">
        <f t="shared" si="3"/>
        <v>4.3820266346738812</v>
      </c>
      <c r="H14">
        <f t="shared" si="4"/>
        <v>1.5625E-4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55B1-8402-45E8-BC36-39FEC499C360}">
  <dimension ref="A2:L54"/>
  <sheetViews>
    <sheetView workbookViewId="0">
      <selection activeCell="B50" sqref="B50"/>
    </sheetView>
  </sheetViews>
  <sheetFormatPr defaultRowHeight="14" x14ac:dyDescent="0.3"/>
  <sheetData>
    <row r="2" spans="1:12" x14ac:dyDescent="0.3">
      <c r="A2">
        <v>54.100000000000058</v>
      </c>
      <c r="B2">
        <v>125.1</v>
      </c>
      <c r="L2" s="5"/>
    </row>
    <row r="3" spans="1:12" x14ac:dyDescent="0.3">
      <c r="A3">
        <v>54.300000000000061</v>
      </c>
      <c r="B3">
        <v>74.930000000000007</v>
      </c>
    </row>
    <row r="4" spans="1:12" x14ac:dyDescent="0.3">
      <c r="A4">
        <v>54.500000000000064</v>
      </c>
      <c r="B4">
        <v>53.22</v>
      </c>
    </row>
    <row r="5" spans="1:12" x14ac:dyDescent="0.3">
      <c r="A5">
        <v>54.700000000000067</v>
      </c>
      <c r="B5">
        <v>39.25</v>
      </c>
    </row>
    <row r="6" spans="1:12" x14ac:dyDescent="0.3">
      <c r="A6">
        <v>54.90000000000007</v>
      </c>
      <c r="B6">
        <v>30.44</v>
      </c>
    </row>
    <row r="7" spans="1:12" x14ac:dyDescent="0.3">
      <c r="A7">
        <v>55.100000000000072</v>
      </c>
      <c r="B7">
        <v>25.97</v>
      </c>
    </row>
    <row r="8" spans="1:12" x14ac:dyDescent="0.3">
      <c r="A8">
        <v>55.300000000000075</v>
      </c>
      <c r="B8">
        <v>24.5</v>
      </c>
    </row>
    <row r="9" spans="1:12" x14ac:dyDescent="0.3">
      <c r="A9">
        <v>55.500000000000078</v>
      </c>
      <c r="B9">
        <v>24.86</v>
      </c>
    </row>
    <row r="10" spans="1:12" x14ac:dyDescent="0.3">
      <c r="A10">
        <v>55.700000000000081</v>
      </c>
      <c r="B10">
        <v>25.81</v>
      </c>
      <c r="I10">
        <v>0.63280000000000003</v>
      </c>
    </row>
    <row r="11" spans="1:12" x14ac:dyDescent="0.3">
      <c r="A11">
        <v>55.900000000000084</v>
      </c>
      <c r="B11">
        <v>26.25</v>
      </c>
      <c r="I11">
        <f>0.28*0.28/0.6328</f>
        <v>0.12389380530973453</v>
      </c>
    </row>
    <row r="12" spans="1:12" x14ac:dyDescent="0.3">
      <c r="A12">
        <v>56.100000000000087</v>
      </c>
      <c r="B12">
        <v>25.89</v>
      </c>
      <c r="I12">
        <v>0.123893805309735</v>
      </c>
    </row>
    <row r="13" spans="1:12" x14ac:dyDescent="0.3">
      <c r="A13">
        <v>56.30000000000009</v>
      </c>
      <c r="B13">
        <v>24.29</v>
      </c>
      <c r="I13" t="s">
        <v>11</v>
      </c>
    </row>
    <row r="14" spans="1:12" x14ac:dyDescent="0.3">
      <c r="A14">
        <v>56.500000000000092</v>
      </c>
      <c r="B14">
        <v>21.52</v>
      </c>
    </row>
    <row r="15" spans="1:12" x14ac:dyDescent="0.3">
      <c r="A15">
        <v>56.700000000000095</v>
      </c>
      <c r="B15">
        <v>18.850000000000001</v>
      </c>
    </row>
    <row r="16" spans="1:12" x14ac:dyDescent="0.3">
      <c r="A16">
        <v>56.900000000000098</v>
      </c>
      <c r="B16">
        <v>15.86</v>
      </c>
    </row>
    <row r="17" spans="1:2" x14ac:dyDescent="0.3">
      <c r="A17">
        <v>57.100000000000101</v>
      </c>
      <c r="B17">
        <v>13.25</v>
      </c>
    </row>
    <row r="18" spans="1:2" x14ac:dyDescent="0.3">
      <c r="A18">
        <v>57.300000000000104</v>
      </c>
      <c r="B18">
        <v>11.3</v>
      </c>
    </row>
    <row r="19" spans="1:2" x14ac:dyDescent="0.3">
      <c r="A19">
        <v>57.500000000000107</v>
      </c>
      <c r="B19">
        <v>9.7010000000000005</v>
      </c>
    </row>
    <row r="20" spans="1:2" x14ac:dyDescent="0.3">
      <c r="A20">
        <v>57.700000000000109</v>
      </c>
      <c r="B20">
        <v>9.0809999999999995</v>
      </c>
    </row>
    <row r="21" spans="1:2" x14ac:dyDescent="0.3">
      <c r="A21">
        <v>57.900000000000112</v>
      </c>
      <c r="B21">
        <v>9.0229999999999997</v>
      </c>
    </row>
    <row r="22" spans="1:2" x14ac:dyDescent="0.3">
      <c r="A22">
        <v>58.100000000000115</v>
      </c>
      <c r="B22">
        <v>9.3369999999999997</v>
      </c>
    </row>
    <row r="23" spans="1:2" x14ac:dyDescent="0.3">
      <c r="A23">
        <v>58.300000000000118</v>
      </c>
      <c r="B23">
        <v>9.8719999999999999</v>
      </c>
    </row>
    <row r="24" spans="1:2" x14ac:dyDescent="0.3">
      <c r="A24">
        <v>58.500000000000121</v>
      </c>
      <c r="B24">
        <v>10.33</v>
      </c>
    </row>
    <row r="25" spans="1:2" x14ac:dyDescent="0.3">
      <c r="A25">
        <v>58.700000000000124</v>
      </c>
      <c r="B25">
        <v>10.48</v>
      </c>
    </row>
    <row r="26" spans="1:2" x14ac:dyDescent="0.3">
      <c r="A26">
        <v>58.900000000000126</v>
      </c>
      <c r="B26">
        <v>10.28</v>
      </c>
    </row>
    <row r="27" spans="1:2" x14ac:dyDescent="0.3">
      <c r="A27">
        <v>59.100000000000129</v>
      </c>
      <c r="B27">
        <v>9.7690000000000001</v>
      </c>
    </row>
    <row r="28" spans="1:2" x14ac:dyDescent="0.3">
      <c r="A28">
        <v>59.300000000000132</v>
      </c>
      <c r="B28">
        <v>8.9049999999999994</v>
      </c>
    </row>
    <row r="29" spans="1:2" x14ac:dyDescent="0.3">
      <c r="A29">
        <v>59.500000000000135</v>
      </c>
      <c r="B29">
        <v>7.81</v>
      </c>
    </row>
    <row r="30" spans="1:2" x14ac:dyDescent="0.3">
      <c r="A30">
        <v>59.700000000000138</v>
      </c>
      <c r="B30">
        <v>6.883</v>
      </c>
    </row>
    <row r="31" spans="1:2" x14ac:dyDescent="0.3">
      <c r="A31">
        <v>59.900000000000141</v>
      </c>
      <c r="B31">
        <v>6.1040000000000001</v>
      </c>
    </row>
    <row r="32" spans="1:2" x14ac:dyDescent="0.3">
      <c r="A32">
        <v>60.100000000000144</v>
      </c>
      <c r="B32">
        <v>5.4969999999999999</v>
      </c>
    </row>
    <row r="33" spans="1:2" x14ac:dyDescent="0.3">
      <c r="A33">
        <v>60.300000000000146</v>
      </c>
      <c r="B33">
        <v>5.23</v>
      </c>
    </row>
    <row r="34" spans="1:2" x14ac:dyDescent="0.3">
      <c r="A34">
        <v>60.500000000000149</v>
      </c>
      <c r="B34">
        <v>5.2460000000000004</v>
      </c>
    </row>
    <row r="35" spans="1:2" x14ac:dyDescent="0.3">
      <c r="A35">
        <v>60.700000000000152</v>
      </c>
      <c r="B35">
        <v>5.4509999999999996</v>
      </c>
    </row>
    <row r="36" spans="1:2" x14ac:dyDescent="0.3">
      <c r="A36">
        <v>60.900000000000155</v>
      </c>
      <c r="B36">
        <v>5.73</v>
      </c>
    </row>
    <row r="37" spans="1:2" x14ac:dyDescent="0.3">
      <c r="A37">
        <v>61.100000000000158</v>
      </c>
      <c r="B37">
        <v>5.9649999999999999</v>
      </c>
    </row>
    <row r="38" spans="1:2" x14ac:dyDescent="0.3">
      <c r="A38">
        <v>61.300000000000161</v>
      </c>
      <c r="B38">
        <v>6.1</v>
      </c>
    </row>
    <row r="39" spans="1:2" x14ac:dyDescent="0.3">
      <c r="A39">
        <v>61.500000000000163</v>
      </c>
      <c r="B39">
        <v>6.0419999999999998</v>
      </c>
    </row>
    <row r="40" spans="1:2" x14ac:dyDescent="0.3">
      <c r="A40">
        <v>61.700000000000166</v>
      </c>
      <c r="B40">
        <v>5.8079999999999998</v>
      </c>
    </row>
    <row r="41" spans="1:2" x14ac:dyDescent="0.3">
      <c r="A41">
        <v>61.900000000000169</v>
      </c>
      <c r="B41">
        <v>5.407</v>
      </c>
    </row>
    <row r="42" spans="1:2" x14ac:dyDescent="0.3">
      <c r="A42">
        <v>62.100000000000172</v>
      </c>
      <c r="B42">
        <v>4.9180000000000001</v>
      </c>
    </row>
    <row r="43" spans="1:2" x14ac:dyDescent="0.3">
      <c r="A43">
        <v>62.300000000000175</v>
      </c>
      <c r="B43">
        <v>4.4059999999999997</v>
      </c>
    </row>
    <row r="44" spans="1:2" x14ac:dyDescent="0.3">
      <c r="A44">
        <v>62.500000000000178</v>
      </c>
      <c r="B44">
        <v>3.9249999999999998</v>
      </c>
    </row>
    <row r="45" spans="1:2" x14ac:dyDescent="0.3">
      <c r="A45">
        <v>62.70000000000018</v>
      </c>
      <c r="B45">
        <v>3.6</v>
      </c>
    </row>
    <row r="46" spans="1:2" x14ac:dyDescent="0.3">
      <c r="A46">
        <v>62.900000000000183</v>
      </c>
      <c r="B46">
        <v>3.4729999999999999</v>
      </c>
    </row>
    <row r="47" spans="1:2" x14ac:dyDescent="0.3">
      <c r="A47">
        <v>63.100000000000186</v>
      </c>
      <c r="B47">
        <v>3.47</v>
      </c>
    </row>
    <row r="48" spans="1:2" x14ac:dyDescent="0.3">
      <c r="A48">
        <v>63.300000000000189</v>
      </c>
      <c r="B48">
        <v>3.57</v>
      </c>
    </row>
    <row r="49" spans="1:2" x14ac:dyDescent="0.3">
      <c r="A49">
        <v>63.500000000000192</v>
      </c>
      <c r="B49">
        <v>3.9660000000000002</v>
      </c>
    </row>
    <row r="50" spans="1:2" x14ac:dyDescent="0.3">
      <c r="A50">
        <v>63.700000000000195</v>
      </c>
      <c r="B50">
        <v>4.0919999999999996</v>
      </c>
    </row>
    <row r="51" spans="1:2" x14ac:dyDescent="0.3">
      <c r="A51">
        <v>63.900000000000198</v>
      </c>
      <c r="B51">
        <v>3.887</v>
      </c>
    </row>
    <row r="52" spans="1:2" x14ac:dyDescent="0.3">
      <c r="A52">
        <v>64.100000000000193</v>
      </c>
      <c r="B52">
        <v>3.7759999999999998</v>
      </c>
    </row>
    <row r="53" spans="1:2" x14ac:dyDescent="0.3">
      <c r="A53">
        <v>64.300000000000196</v>
      </c>
      <c r="B53">
        <v>3.4990000000000001</v>
      </c>
    </row>
    <row r="54" spans="1:2" x14ac:dyDescent="0.3">
      <c r="A54">
        <v>64.500000000000199</v>
      </c>
      <c r="B54">
        <v>3.2370000000000001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2919-682A-40C2-9AF3-27F4E29DEC5A}">
  <dimension ref="A1:H29"/>
  <sheetViews>
    <sheetView workbookViewId="0">
      <selection activeCell="M15" sqref="M15"/>
    </sheetView>
  </sheetViews>
  <sheetFormatPr defaultRowHeight="14" x14ac:dyDescent="0.3"/>
  <cols>
    <col min="1" max="2" width="15.75" customWidth="1"/>
    <col min="3" max="3" width="2.83203125" customWidth="1"/>
    <col min="4" max="5" width="15.75" customWidth="1"/>
    <col min="6" max="6" width="2.83203125" customWidth="1"/>
    <col min="7" max="8" width="15.75" customWidth="1"/>
  </cols>
  <sheetData>
    <row r="1" spans="1:8" ht="16.5" customHeight="1" x14ac:dyDescent="0.4">
      <c r="A1" s="2" t="s">
        <v>0</v>
      </c>
      <c r="B1" s="2" t="s">
        <v>2</v>
      </c>
      <c r="C1" s="3"/>
      <c r="D1" s="2" t="s">
        <v>0</v>
      </c>
      <c r="E1" s="2" t="s">
        <v>2</v>
      </c>
      <c r="F1" s="3"/>
      <c r="G1" s="2" t="s">
        <v>0</v>
      </c>
      <c r="H1" s="2" t="s">
        <v>2</v>
      </c>
    </row>
    <row r="2" spans="1:8" ht="16.5" customHeight="1" x14ac:dyDescent="0.4">
      <c r="A2" s="1">
        <v>49.945999999999998</v>
      </c>
      <c r="B2" s="1">
        <v>611</v>
      </c>
      <c r="C2" s="4"/>
      <c r="D2" s="1">
        <v>52.746000000000038</v>
      </c>
      <c r="E2" s="1">
        <v>206.4</v>
      </c>
      <c r="F2" s="4"/>
      <c r="G2" s="1">
        <v>55.546000000000078</v>
      </c>
      <c r="H2" s="1">
        <v>19.41</v>
      </c>
    </row>
    <row r="3" spans="1:8" ht="16.5" customHeight="1" x14ac:dyDescent="0.4">
      <c r="A3" s="1">
        <v>50.045999999999999</v>
      </c>
      <c r="B3" s="1">
        <v>612</v>
      </c>
      <c r="C3" s="4"/>
      <c r="D3" s="1">
        <v>52.846000000000039</v>
      </c>
      <c r="E3" s="1">
        <v>187.7</v>
      </c>
      <c r="F3" s="4"/>
      <c r="G3" s="1">
        <v>55.646000000000079</v>
      </c>
      <c r="H3" s="1">
        <v>19.39</v>
      </c>
    </row>
    <row r="4" spans="1:8" ht="16.5" customHeight="1" x14ac:dyDescent="0.4">
      <c r="A4" s="1">
        <v>50.146000000000001</v>
      </c>
      <c r="B4" s="1">
        <v>617</v>
      </c>
      <c r="C4" s="4"/>
      <c r="D4" s="1">
        <v>52.946000000000041</v>
      </c>
      <c r="E4" s="1">
        <v>171</v>
      </c>
      <c r="F4" s="4"/>
      <c r="G4" s="1">
        <v>55.74600000000008</v>
      </c>
      <c r="H4" s="1">
        <v>19.41</v>
      </c>
    </row>
    <row r="5" spans="1:8" ht="16.5" customHeight="1" x14ac:dyDescent="0.4">
      <c r="A5" s="1">
        <v>50.246000000000002</v>
      </c>
      <c r="B5" s="1">
        <v>624.70000000000005</v>
      </c>
      <c r="C5" s="4"/>
      <c r="D5" s="1">
        <v>53.046000000000042</v>
      </c>
      <c r="E5" s="1">
        <v>157.4</v>
      </c>
      <c r="F5" s="4"/>
      <c r="G5" s="1">
        <v>55.846000000000082</v>
      </c>
      <c r="H5" s="1">
        <v>19.399999999999999</v>
      </c>
    </row>
    <row r="6" spans="1:8" ht="16.5" customHeight="1" x14ac:dyDescent="0.4">
      <c r="A6" s="1">
        <v>50.346000000000004</v>
      </c>
      <c r="B6" s="1">
        <v>612.9</v>
      </c>
      <c r="C6" s="4"/>
      <c r="D6" s="1">
        <v>53.146000000000043</v>
      </c>
      <c r="E6" s="1">
        <v>140.5</v>
      </c>
      <c r="F6" s="4"/>
      <c r="G6" s="1">
        <v>55.946000000000083</v>
      </c>
      <c r="H6" s="1">
        <v>19.3</v>
      </c>
    </row>
    <row r="7" spans="1:8" ht="16.5" customHeight="1" x14ac:dyDescent="0.4">
      <c r="A7" s="1">
        <v>50.446000000000005</v>
      </c>
      <c r="B7" s="1">
        <v>610</v>
      </c>
      <c r="C7" s="4"/>
      <c r="D7" s="1">
        <v>53.246000000000045</v>
      </c>
      <c r="E7" s="1">
        <v>126.8</v>
      </c>
      <c r="F7" s="4"/>
      <c r="G7" s="1">
        <v>56.046000000000085</v>
      </c>
      <c r="H7" s="1">
        <v>19.29</v>
      </c>
    </row>
    <row r="8" spans="1:8" ht="16.5" customHeight="1" x14ac:dyDescent="0.4">
      <c r="A8" s="1">
        <v>50.546000000000006</v>
      </c>
      <c r="B8" s="1">
        <v>600.70000000000005</v>
      </c>
      <c r="C8" s="4"/>
      <c r="D8" s="1">
        <v>53.346000000000046</v>
      </c>
      <c r="E8" s="1">
        <v>110.6</v>
      </c>
      <c r="F8" s="4"/>
      <c r="G8" s="1">
        <v>56.146000000000086</v>
      </c>
      <c r="H8" s="1">
        <v>19.079999999999998</v>
      </c>
    </row>
    <row r="9" spans="1:8" ht="16.5" customHeight="1" x14ac:dyDescent="0.4">
      <c r="A9" s="1">
        <v>50.646000000000008</v>
      </c>
      <c r="B9" s="1">
        <v>599.6</v>
      </c>
      <c r="C9" s="4"/>
      <c r="D9" s="1">
        <v>53.446000000000048</v>
      </c>
      <c r="E9" s="1">
        <v>91.79</v>
      </c>
      <c r="F9" s="4"/>
      <c r="G9" s="1">
        <v>56.246000000000087</v>
      </c>
      <c r="H9" s="1">
        <v>18.850000000000001</v>
      </c>
    </row>
    <row r="10" spans="1:8" ht="16.5" customHeight="1" x14ac:dyDescent="0.4">
      <c r="A10" s="1">
        <v>50.746000000000009</v>
      </c>
      <c r="B10" s="1">
        <v>588.6</v>
      </c>
      <c r="C10" s="4"/>
      <c r="D10" s="1">
        <v>53.546000000000049</v>
      </c>
      <c r="E10" s="1">
        <v>81.72</v>
      </c>
      <c r="F10" s="4"/>
      <c r="G10" s="1">
        <v>56.346000000000089</v>
      </c>
      <c r="H10" s="1">
        <v>18.47</v>
      </c>
    </row>
    <row r="11" spans="1:8" ht="16.5" customHeight="1" x14ac:dyDescent="0.4">
      <c r="A11" s="1">
        <v>50.846000000000011</v>
      </c>
      <c r="B11" s="1">
        <v>570.1</v>
      </c>
      <c r="C11" s="4"/>
      <c r="D11" s="1">
        <v>53.646000000000051</v>
      </c>
      <c r="E11" s="1">
        <v>73.45</v>
      </c>
      <c r="F11" s="4"/>
      <c r="G11" s="1">
        <v>56.44600000000009</v>
      </c>
      <c r="H11" s="1">
        <v>18</v>
      </c>
    </row>
    <row r="12" spans="1:8" ht="16.5" customHeight="1" x14ac:dyDescent="0.4">
      <c r="A12" s="1">
        <v>50.946000000000012</v>
      </c>
      <c r="B12" s="1">
        <v>557.70000000000005</v>
      </c>
      <c r="C12" s="4"/>
      <c r="D12" s="1">
        <v>53.746000000000052</v>
      </c>
      <c r="E12" s="1">
        <v>66.010000000000005</v>
      </c>
      <c r="F12" s="4"/>
      <c r="G12" s="1">
        <v>56.546000000000092</v>
      </c>
      <c r="H12" s="1">
        <v>17.29</v>
      </c>
    </row>
    <row r="13" spans="1:8" ht="16.5" customHeight="1" x14ac:dyDescent="0.4">
      <c r="A13" s="1">
        <v>51.046000000000014</v>
      </c>
      <c r="B13" s="1">
        <v>544.9</v>
      </c>
      <c r="C13" s="4"/>
      <c r="D13" s="1">
        <v>53.846000000000053</v>
      </c>
      <c r="E13" s="1">
        <v>57.83</v>
      </c>
      <c r="F13" s="4"/>
      <c r="G13" s="1">
        <v>56.646000000000093</v>
      </c>
      <c r="H13" s="1">
        <v>16.89</v>
      </c>
    </row>
    <row r="14" spans="1:8" ht="16.5" customHeight="1" x14ac:dyDescent="0.4">
      <c r="A14" s="1">
        <v>51.146000000000015</v>
      </c>
      <c r="B14" s="1">
        <v>520.5</v>
      </c>
      <c r="C14" s="4"/>
      <c r="D14" s="1">
        <v>53.946000000000055</v>
      </c>
      <c r="E14" s="1">
        <v>51.74</v>
      </c>
      <c r="F14" s="4"/>
      <c r="G14" s="1">
        <v>56.746000000000095</v>
      </c>
      <c r="H14" s="1">
        <v>16.329999999999998</v>
      </c>
    </row>
    <row r="15" spans="1:8" ht="16.5" customHeight="1" x14ac:dyDescent="0.4">
      <c r="A15" s="1">
        <v>51.246000000000016</v>
      </c>
      <c r="B15" s="1">
        <v>508.1</v>
      </c>
      <c r="C15" s="4"/>
      <c r="D15" s="1">
        <v>54.046000000000056</v>
      </c>
      <c r="E15" s="1">
        <v>46.14</v>
      </c>
      <c r="F15" s="4"/>
      <c r="G15" s="1">
        <v>56.846000000000096</v>
      </c>
      <c r="H15" s="1">
        <v>15.8</v>
      </c>
    </row>
    <row r="16" spans="1:8" ht="16.5" customHeight="1" x14ac:dyDescent="0.4">
      <c r="A16" s="1">
        <v>51.346000000000018</v>
      </c>
      <c r="B16" s="1">
        <v>489.1</v>
      </c>
      <c r="C16" s="4"/>
      <c r="D16" s="1">
        <v>54.146000000000058</v>
      </c>
      <c r="E16" s="1">
        <v>40.880000000000003</v>
      </c>
      <c r="F16" s="4"/>
      <c r="G16" s="1">
        <v>56.946000000000097</v>
      </c>
      <c r="H16" s="1">
        <v>15.2</v>
      </c>
    </row>
    <row r="17" spans="1:8" ht="16.5" customHeight="1" x14ac:dyDescent="0.4">
      <c r="A17" s="1">
        <v>51.446000000000019</v>
      </c>
      <c r="B17" s="1">
        <v>472.4</v>
      </c>
      <c r="C17" s="4"/>
      <c r="D17" s="1">
        <v>54.246000000000059</v>
      </c>
      <c r="E17" s="1">
        <v>36.29</v>
      </c>
      <c r="F17" s="4"/>
      <c r="G17" s="1">
        <v>57.046000000000099</v>
      </c>
      <c r="H17" s="1">
        <v>14.49</v>
      </c>
    </row>
    <row r="18" spans="1:8" ht="16.5" customHeight="1" x14ac:dyDescent="0.4">
      <c r="A18" s="1">
        <v>51.546000000000021</v>
      </c>
      <c r="B18" s="1">
        <v>457.8</v>
      </c>
      <c r="C18" s="4"/>
      <c r="D18" s="1">
        <v>54.34600000000006</v>
      </c>
      <c r="E18" s="1">
        <v>32.700000000000003</v>
      </c>
      <c r="F18" s="4"/>
      <c r="G18" s="1">
        <v>57.1460000000001</v>
      </c>
      <c r="H18" s="1">
        <v>13.93</v>
      </c>
    </row>
    <row r="19" spans="1:8" ht="16.5" customHeight="1" x14ac:dyDescent="0.4">
      <c r="A19" s="1">
        <v>51.646000000000022</v>
      </c>
      <c r="B19" s="1">
        <v>439.1</v>
      </c>
      <c r="C19" s="4"/>
      <c r="D19" s="1">
        <v>54.446000000000062</v>
      </c>
      <c r="E19" s="1">
        <v>29.13</v>
      </c>
      <c r="F19" s="4"/>
      <c r="G19" s="1">
        <v>57.246000000000102</v>
      </c>
      <c r="H19" s="1">
        <v>13.26</v>
      </c>
    </row>
    <row r="20" spans="1:8" ht="16.5" customHeight="1" x14ac:dyDescent="0.4">
      <c r="A20" s="1">
        <v>51.746000000000024</v>
      </c>
      <c r="B20" s="1">
        <v>414</v>
      </c>
      <c r="C20" s="4"/>
      <c r="D20" s="1">
        <v>54.546000000000063</v>
      </c>
      <c r="E20" s="1">
        <v>26.37</v>
      </c>
      <c r="F20" s="4"/>
      <c r="G20" s="1">
        <v>57.346000000000103</v>
      </c>
      <c r="H20" s="1">
        <v>12.47</v>
      </c>
    </row>
    <row r="21" spans="1:8" ht="16.5" customHeight="1" x14ac:dyDescent="0.4">
      <c r="A21" s="1">
        <v>51.846000000000025</v>
      </c>
      <c r="B21" s="1">
        <v>394.4</v>
      </c>
      <c r="C21" s="4"/>
      <c r="D21" s="1">
        <v>54.646000000000065</v>
      </c>
      <c r="E21" s="1">
        <v>24.2</v>
      </c>
      <c r="F21" s="4"/>
      <c r="G21" s="1">
        <v>57.446000000000105</v>
      </c>
      <c r="H21" s="1">
        <v>11.78</v>
      </c>
    </row>
    <row r="22" spans="1:8" ht="16.5" customHeight="1" x14ac:dyDescent="0.4">
      <c r="A22" s="1">
        <v>51.946000000000026</v>
      </c>
      <c r="B22" s="1">
        <v>368.7</v>
      </c>
      <c r="C22" s="4"/>
      <c r="D22" s="1">
        <v>54.746000000000066</v>
      </c>
      <c r="E22" s="1">
        <v>22.54</v>
      </c>
      <c r="F22" s="4"/>
      <c r="G22" s="1">
        <v>57.546000000000106</v>
      </c>
      <c r="H22" s="1">
        <v>11.2</v>
      </c>
    </row>
    <row r="23" spans="1:8" ht="16.5" customHeight="1" x14ac:dyDescent="0.4">
      <c r="A23" s="1">
        <v>52.046000000000028</v>
      </c>
      <c r="B23" s="1">
        <v>353</v>
      </c>
      <c r="C23" s="4"/>
      <c r="D23" s="1">
        <v>54.846000000000068</v>
      </c>
      <c r="E23" s="1">
        <v>21.45</v>
      </c>
      <c r="F23" s="4"/>
      <c r="G23" s="1">
        <v>57.646000000000107</v>
      </c>
      <c r="H23" s="1">
        <v>10.65</v>
      </c>
    </row>
    <row r="24" spans="1:8" ht="16.5" customHeight="1" x14ac:dyDescent="0.4">
      <c r="A24" s="1">
        <v>52.146000000000029</v>
      </c>
      <c r="B24" s="1">
        <v>328.3</v>
      </c>
      <c r="C24" s="4"/>
      <c r="D24" s="1">
        <v>54.946000000000069</v>
      </c>
      <c r="E24" s="1">
        <v>20.55</v>
      </c>
      <c r="F24" s="4"/>
      <c r="G24" s="1">
        <v>57.746000000000109</v>
      </c>
      <c r="H24" s="1">
        <v>10.17</v>
      </c>
    </row>
    <row r="25" spans="1:8" ht="16.5" customHeight="1" x14ac:dyDescent="0.4">
      <c r="A25" s="1">
        <v>52.246000000000031</v>
      </c>
      <c r="B25" s="1">
        <v>303.5</v>
      </c>
      <c r="C25" s="4"/>
      <c r="D25" s="1">
        <v>55.04600000000007</v>
      </c>
      <c r="E25" s="1">
        <v>19.940000000000001</v>
      </c>
      <c r="F25" s="4"/>
      <c r="G25" s="1">
        <v>57.84600000000011</v>
      </c>
      <c r="H25" s="1">
        <v>9.6059999999999999</v>
      </c>
    </row>
    <row r="26" spans="1:8" ht="16.5" customHeight="1" x14ac:dyDescent="0.4">
      <c r="A26" s="1">
        <v>52.346000000000032</v>
      </c>
      <c r="B26" s="1">
        <v>273.5</v>
      </c>
      <c r="C26" s="4"/>
      <c r="D26" s="1">
        <v>55.146000000000072</v>
      </c>
      <c r="E26" s="1">
        <v>19.739999999999998</v>
      </c>
      <c r="F26" s="4"/>
      <c r="G26" s="1">
        <v>57.946000000000112</v>
      </c>
      <c r="H26" s="1">
        <v>9.2140000000000004</v>
      </c>
    </row>
    <row r="27" spans="1:8" ht="16.5" customHeight="1" x14ac:dyDescent="0.4">
      <c r="A27" s="1">
        <v>52.446000000000033</v>
      </c>
      <c r="B27" s="1">
        <v>256.2</v>
      </c>
      <c r="C27" s="4"/>
      <c r="D27" s="1">
        <v>55.246000000000073</v>
      </c>
      <c r="E27" s="1">
        <v>19.46</v>
      </c>
      <c r="F27" s="4"/>
      <c r="G27" s="1">
        <v>58.046000000000113</v>
      </c>
      <c r="H27" s="1">
        <v>8.8460000000000001</v>
      </c>
    </row>
    <row r="28" spans="1:8" ht="16.5" customHeight="1" x14ac:dyDescent="0.4">
      <c r="A28" s="1">
        <v>52.546000000000035</v>
      </c>
      <c r="B28" s="1">
        <v>240.1</v>
      </c>
      <c r="C28" s="4"/>
      <c r="D28" s="1">
        <v>55.346000000000075</v>
      </c>
      <c r="E28" s="1">
        <v>19.38</v>
      </c>
      <c r="F28" s="4"/>
      <c r="G28" s="1">
        <v>58.146000000000114</v>
      </c>
      <c r="H28" s="1">
        <v>8.5570000000000004</v>
      </c>
    </row>
    <row r="29" spans="1:8" ht="16.5" customHeight="1" x14ac:dyDescent="0.4">
      <c r="A29" s="1">
        <v>52.646000000000036</v>
      </c>
      <c r="B29" s="1">
        <v>222.5</v>
      </c>
      <c r="C29" s="4"/>
      <c r="D29" s="1">
        <v>55.446000000000076</v>
      </c>
      <c r="E29" s="1">
        <v>19.399999999999999</v>
      </c>
      <c r="F29" s="4"/>
      <c r="G29" s="1"/>
      <c r="H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0.15mm相对光强分布</vt:lpstr>
      <vt:lpstr>0.28mm、8.3mm相对光强分布</vt:lpstr>
      <vt:lpstr>0.28mm、6mm相对光强分布</vt:lpstr>
      <vt:lpstr>光功率与距离关系</vt:lpstr>
      <vt:lpstr>计算表</vt:lpstr>
      <vt:lpstr>展示表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2025-07-17T13:25:26Z</dcterms:modified>
</cp:coreProperties>
</file>