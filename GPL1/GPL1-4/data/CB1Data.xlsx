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CB1 迈克尔逊干涉实验（激光干涉）\"/>
    </mc:Choice>
  </mc:AlternateContent>
  <xr:revisionPtr revIDLastSave="0" documentId="13_ncr:1_{71596C16-A3E8-488D-AB68-EF18400F1D88}" xr6:coauthVersionLast="47" xr6:coauthVersionMax="47" xr10:uidLastSave="{00000000-0000-0000-0000-000000000000}"/>
  <bookViews>
    <workbookView xWindow="380" yWindow="380" windowWidth="20540" windowHeight="13780" xr2:uid="{00000000-000D-0000-FFFF-FFFF00000000}"/>
  </bookViews>
  <sheets>
    <sheet name="测波长" sheetId="1" r:id="rId1"/>
    <sheet name="测波长计算" sheetId="2" r:id="rId2"/>
    <sheet name="测折射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3" l="1"/>
  <c r="N4" i="3"/>
  <c r="M6" i="3"/>
  <c r="B11" i="3"/>
  <c r="B10" i="3"/>
  <c r="O5" i="3"/>
  <c r="O4" i="3"/>
  <c r="N6" i="3"/>
  <c r="O3" i="3"/>
  <c r="N3" i="3"/>
  <c r="M4" i="3"/>
  <c r="M5" i="3"/>
  <c r="M3" i="3"/>
  <c r="B9" i="3"/>
  <c r="D17" i="2"/>
  <c r="D18" i="2"/>
  <c r="D19" i="2"/>
  <c r="D20" i="2"/>
  <c r="D16" i="2"/>
  <c r="C17" i="2"/>
  <c r="C18" i="2"/>
  <c r="C19" i="2"/>
  <c r="C20" i="2"/>
  <c r="C16" i="2"/>
  <c r="B18" i="2"/>
  <c r="B19" i="2"/>
  <c r="B20" i="2"/>
  <c r="B17" i="2"/>
  <c r="B16" i="2"/>
  <c r="D11" i="2"/>
  <c r="D12" i="2"/>
  <c r="D13" i="2"/>
  <c r="D14" i="2"/>
  <c r="D10" i="2"/>
  <c r="C11" i="2"/>
  <c r="C12" i="2"/>
  <c r="C13" i="2"/>
  <c r="C14" i="2"/>
  <c r="C10" i="2"/>
  <c r="B12" i="2"/>
  <c r="B13" i="2"/>
  <c r="B14" i="2"/>
  <c r="B11" i="2"/>
  <c r="B10" i="2"/>
  <c r="B5" i="2"/>
  <c r="C5" i="2" s="1"/>
  <c r="D5" i="2" s="1"/>
  <c r="B6" i="2"/>
  <c r="C6" i="2" s="1"/>
  <c r="D6" i="2" s="1"/>
  <c r="B7" i="2"/>
  <c r="C7" i="2" s="1"/>
  <c r="D7" i="2" s="1"/>
  <c r="B8" i="2"/>
  <c r="C8" i="2" s="1"/>
  <c r="D8" i="2" s="1"/>
  <c r="B4" i="2"/>
  <c r="C4" i="2" s="1"/>
  <c r="D4" i="2" s="1"/>
  <c r="B3" i="2"/>
  <c r="C3" i="2" s="1"/>
  <c r="D3" i="2" s="1"/>
</calcChain>
</file>

<file path=xl/sharedStrings.xml><?xml version="1.0" encoding="utf-8"?>
<sst xmlns="http://schemas.openxmlformats.org/spreadsheetml/2006/main" count="24" uniqueCount="21">
  <si>
    <t>(d/mm)-测量组\测量编号</t>
    <phoneticPr fontId="1" type="noConversion"/>
  </si>
  <si>
    <t>组1（实验台4）</t>
    <phoneticPr fontId="1" type="noConversion"/>
  </si>
  <si>
    <t>组2（实验台1）</t>
    <phoneticPr fontId="1" type="noConversion"/>
  </si>
  <si>
    <t>组3（实验台5）</t>
    <phoneticPr fontId="1" type="noConversion"/>
  </si>
  <si>
    <t>d/mm</t>
    <phoneticPr fontId="1" type="noConversion"/>
  </si>
  <si>
    <t>Δd/mm=di-dj/mm</t>
    <phoneticPr fontId="1" type="noConversion"/>
  </si>
  <si>
    <t>Δd/40(mm)</t>
    <phoneticPr fontId="1" type="noConversion"/>
  </si>
  <si>
    <t>λ/nm</t>
    <phoneticPr fontId="1" type="noConversion"/>
  </si>
  <si>
    <t>测量编号</t>
    <phoneticPr fontId="1" type="noConversion"/>
  </si>
  <si>
    <t>薄片厚度测量值/mm</t>
    <phoneticPr fontId="1" type="noConversion"/>
  </si>
  <si>
    <t>旋转法</t>
    <phoneticPr fontId="1" type="noConversion"/>
  </si>
  <si>
    <t>组1</t>
    <phoneticPr fontId="1" type="noConversion"/>
  </si>
  <si>
    <t>组2</t>
    <phoneticPr fontId="1" type="noConversion"/>
  </si>
  <si>
    <t>组3</t>
    <phoneticPr fontId="1" type="noConversion"/>
  </si>
  <si>
    <t>N</t>
    <phoneticPr fontId="1" type="noConversion"/>
  </si>
  <si>
    <t>折射率</t>
    <phoneticPr fontId="1" type="noConversion"/>
  </si>
  <si>
    <t>n</t>
    <phoneticPr fontId="1" type="noConversion"/>
  </si>
  <si>
    <t>均值</t>
    <phoneticPr fontId="1" type="noConversion"/>
  </si>
  <si>
    <t>θ/°</t>
    <phoneticPr fontId="1" type="noConversion"/>
  </si>
  <si>
    <t>标准差</t>
    <phoneticPr fontId="1" type="noConversion"/>
  </si>
  <si>
    <t>实验标准差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</si>
</sst>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"/>
    </sheetView>
  </sheetViews>
  <sheetFormatPr defaultRowHeight="14" x14ac:dyDescent="0.3"/>
  <cols>
    <col min="1" max="1" width="21.6640625" customWidth="1"/>
    <col min="2" max="6" width="14.1640625" customWidth="1"/>
  </cols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t="s">
        <v>1</v>
      </c>
      <c r="B2">
        <v>0.65100000000000002</v>
      </c>
      <c r="C2">
        <v>1.165</v>
      </c>
      <c r="D2">
        <v>1.675</v>
      </c>
      <c r="E2">
        <v>2.1909999999999998</v>
      </c>
      <c r="F2">
        <v>2.71</v>
      </c>
      <c r="G2">
        <v>3.2490000000000001</v>
      </c>
    </row>
    <row r="3" spans="1:7" x14ac:dyDescent="0.3">
      <c r="A3" t="s">
        <v>2</v>
      </c>
      <c r="B3">
        <v>0.68500000000000005</v>
      </c>
      <c r="C3">
        <v>1.4119999999999999</v>
      </c>
      <c r="D3">
        <v>2.089</v>
      </c>
      <c r="E3">
        <v>2.7450000000000001</v>
      </c>
      <c r="F3">
        <v>3.41</v>
      </c>
    </row>
    <row r="4" spans="1:7" x14ac:dyDescent="0.3">
      <c r="A4" t="s">
        <v>3</v>
      </c>
      <c r="B4">
        <v>0.65500000000000003</v>
      </c>
      <c r="C4">
        <v>1.2909999999999999</v>
      </c>
      <c r="D4">
        <v>1.92</v>
      </c>
      <c r="E4">
        <v>2.5550000000000002</v>
      </c>
      <c r="F4">
        <v>3.1779999999999999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7A34-D6B9-4C03-9394-D07A9403ACB3}">
  <dimension ref="A1:D20"/>
  <sheetViews>
    <sheetView workbookViewId="0">
      <selection activeCell="D16" sqref="D16:D20"/>
    </sheetView>
  </sheetViews>
  <sheetFormatPr defaultRowHeight="14" x14ac:dyDescent="0.3"/>
  <cols>
    <col min="1" max="4" width="20.0820312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3" spans="1:4" x14ac:dyDescent="0.3">
      <c r="A3">
        <v>0.65100000000000002</v>
      </c>
      <c r="B3">
        <f>A3</f>
        <v>0.65100000000000002</v>
      </c>
      <c r="C3">
        <f>B3/40</f>
        <v>1.6275000000000001E-2</v>
      </c>
      <c r="D3">
        <f>2*C3*1000000/50</f>
        <v>651.00000000000011</v>
      </c>
    </row>
    <row r="4" spans="1:4" x14ac:dyDescent="0.3">
      <c r="A4">
        <v>1.165</v>
      </c>
      <c r="B4">
        <f>A4-A3</f>
        <v>0.51400000000000001</v>
      </c>
      <c r="C4">
        <f t="shared" ref="C4:C8" si="0">B4/40</f>
        <v>1.285E-2</v>
      </c>
      <c r="D4">
        <f t="shared" ref="D4:D8" si="1">2*C4*1000000/50</f>
        <v>514</v>
      </c>
    </row>
    <row r="5" spans="1:4" x14ac:dyDescent="0.3">
      <c r="A5">
        <v>1.675</v>
      </c>
      <c r="B5">
        <f t="shared" ref="B5:B8" si="2">A5-A4</f>
        <v>0.51</v>
      </c>
      <c r="C5">
        <f t="shared" si="0"/>
        <v>1.2750000000000001E-2</v>
      </c>
      <c r="D5">
        <f t="shared" si="1"/>
        <v>510.00000000000006</v>
      </c>
    </row>
    <row r="6" spans="1:4" x14ac:dyDescent="0.3">
      <c r="A6">
        <v>2.1909999999999998</v>
      </c>
      <c r="B6">
        <f t="shared" si="2"/>
        <v>0.51599999999999979</v>
      </c>
      <c r="C6">
        <f t="shared" si="0"/>
        <v>1.2899999999999995E-2</v>
      </c>
      <c r="D6">
        <f t="shared" si="1"/>
        <v>515.99999999999977</v>
      </c>
    </row>
    <row r="7" spans="1:4" x14ac:dyDescent="0.3">
      <c r="A7">
        <v>2.71</v>
      </c>
      <c r="B7">
        <f t="shared" si="2"/>
        <v>0.51900000000000013</v>
      </c>
      <c r="C7">
        <f t="shared" si="0"/>
        <v>1.2975000000000004E-2</v>
      </c>
      <c r="D7">
        <f t="shared" si="1"/>
        <v>519.00000000000011</v>
      </c>
    </row>
    <row r="8" spans="1:4" x14ac:dyDescent="0.3">
      <c r="A8">
        <v>3.2490000000000001</v>
      </c>
      <c r="B8">
        <f t="shared" si="2"/>
        <v>0.53900000000000015</v>
      </c>
      <c r="C8">
        <f t="shared" si="0"/>
        <v>1.3475000000000004E-2</v>
      </c>
      <c r="D8">
        <f t="shared" si="1"/>
        <v>539.00000000000011</v>
      </c>
    </row>
    <row r="10" spans="1:4" x14ac:dyDescent="0.3">
      <c r="A10">
        <v>0.68500000000000005</v>
      </c>
      <c r="B10">
        <f>A10</f>
        <v>0.68500000000000005</v>
      </c>
      <c r="C10">
        <f>B10/40</f>
        <v>1.7125000000000001E-2</v>
      </c>
      <c r="D10">
        <f>C10*2*1000000/50</f>
        <v>685</v>
      </c>
    </row>
    <row r="11" spans="1:4" x14ac:dyDescent="0.3">
      <c r="A11">
        <v>1.4119999999999999</v>
      </c>
      <c r="B11">
        <f>A11-A10</f>
        <v>0.72699999999999987</v>
      </c>
      <c r="C11">
        <f t="shared" ref="C11:C14" si="3">B11/40</f>
        <v>1.8174999999999997E-2</v>
      </c>
      <c r="D11">
        <f t="shared" ref="D11:D14" si="4">C11*2*1000000/50</f>
        <v>726.99999999999989</v>
      </c>
    </row>
    <row r="12" spans="1:4" x14ac:dyDescent="0.3">
      <c r="A12">
        <v>2.089</v>
      </c>
      <c r="B12">
        <f t="shared" ref="B12:B14" si="5">A12-A11</f>
        <v>0.67700000000000005</v>
      </c>
      <c r="C12">
        <f t="shared" si="3"/>
        <v>1.6925000000000003E-2</v>
      </c>
      <c r="D12">
        <f t="shared" si="4"/>
        <v>677.00000000000011</v>
      </c>
    </row>
    <row r="13" spans="1:4" x14ac:dyDescent="0.3">
      <c r="A13">
        <v>2.7450000000000001</v>
      </c>
      <c r="B13">
        <f t="shared" si="5"/>
        <v>0.65600000000000014</v>
      </c>
      <c r="C13">
        <f t="shared" si="3"/>
        <v>1.6400000000000005E-2</v>
      </c>
      <c r="D13">
        <f t="shared" si="4"/>
        <v>656.00000000000011</v>
      </c>
    </row>
    <row r="14" spans="1:4" x14ac:dyDescent="0.3">
      <c r="A14">
        <v>3.41</v>
      </c>
      <c r="B14">
        <f t="shared" si="5"/>
        <v>0.66500000000000004</v>
      </c>
      <c r="C14">
        <f t="shared" si="3"/>
        <v>1.6625000000000001E-2</v>
      </c>
      <c r="D14">
        <f t="shared" si="4"/>
        <v>665</v>
      </c>
    </row>
    <row r="16" spans="1:4" x14ac:dyDescent="0.3">
      <c r="A16">
        <v>0.65500000000000003</v>
      </c>
      <c r="B16">
        <f>A16</f>
        <v>0.65500000000000003</v>
      </c>
      <c r="C16">
        <f>B16/40</f>
        <v>1.6375000000000001E-2</v>
      </c>
      <c r="D16">
        <f>C16*2*1000000/50</f>
        <v>655</v>
      </c>
    </row>
    <row r="17" spans="1:4" x14ac:dyDescent="0.3">
      <c r="A17">
        <v>1.2909999999999999</v>
      </c>
      <c r="B17">
        <f>A17-A16</f>
        <v>0.6359999999999999</v>
      </c>
      <c r="C17">
        <f t="shared" ref="C17:C20" si="6">B17/40</f>
        <v>1.5899999999999997E-2</v>
      </c>
      <c r="D17">
        <f t="shared" ref="D17:D20" si="7">C17*2*1000000/50</f>
        <v>635.99999999999989</v>
      </c>
    </row>
    <row r="18" spans="1:4" x14ac:dyDescent="0.3">
      <c r="A18">
        <v>1.92</v>
      </c>
      <c r="B18">
        <f t="shared" ref="B18:B20" si="8">A18-A17</f>
        <v>0.629</v>
      </c>
      <c r="C18">
        <f t="shared" si="6"/>
        <v>1.5724999999999999E-2</v>
      </c>
      <c r="D18">
        <f t="shared" si="7"/>
        <v>629</v>
      </c>
    </row>
    <row r="19" spans="1:4" x14ac:dyDescent="0.3">
      <c r="A19">
        <v>2.5550000000000002</v>
      </c>
      <c r="B19">
        <f t="shared" si="8"/>
        <v>0.63500000000000023</v>
      </c>
      <c r="C19">
        <f t="shared" si="6"/>
        <v>1.5875000000000007E-2</v>
      </c>
      <c r="D19">
        <f t="shared" si="7"/>
        <v>635.00000000000034</v>
      </c>
    </row>
    <row r="20" spans="1:4" x14ac:dyDescent="0.3">
      <c r="A20">
        <v>3.1779999999999999</v>
      </c>
      <c r="B20">
        <f t="shared" si="8"/>
        <v>0.62299999999999978</v>
      </c>
      <c r="C20">
        <f t="shared" si="6"/>
        <v>1.5574999999999995E-2</v>
      </c>
      <c r="D20">
        <f t="shared" si="7"/>
        <v>622.99999999999977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9F6-A5AD-4270-B45A-480B118D5058}">
  <dimension ref="A1:O11"/>
  <sheetViews>
    <sheetView workbookViewId="0">
      <selection activeCell="N6" sqref="N6"/>
    </sheetView>
  </sheetViews>
  <sheetFormatPr defaultRowHeight="14" x14ac:dyDescent="0.3"/>
  <sheetData>
    <row r="1" spans="1:15" x14ac:dyDescent="0.3">
      <c r="A1" t="s">
        <v>8</v>
      </c>
      <c r="B1" t="s">
        <v>9</v>
      </c>
      <c r="C1" t="s">
        <v>10</v>
      </c>
      <c r="D1" t="s">
        <v>18</v>
      </c>
      <c r="E1" t="s">
        <v>11</v>
      </c>
      <c r="F1" t="s">
        <v>12</v>
      </c>
      <c r="G1" t="s">
        <v>13</v>
      </c>
      <c r="H1" t="s">
        <v>14</v>
      </c>
      <c r="I1" t="s">
        <v>11</v>
      </c>
      <c r="J1" t="s">
        <v>12</v>
      </c>
      <c r="K1" t="s">
        <v>13</v>
      </c>
      <c r="L1" t="s">
        <v>15</v>
      </c>
      <c r="M1" t="s">
        <v>16</v>
      </c>
    </row>
    <row r="2" spans="1:15" x14ac:dyDescent="0.3">
      <c r="A2">
        <v>1</v>
      </c>
      <c r="B2">
        <v>0.157</v>
      </c>
      <c r="E2">
        <v>7.5</v>
      </c>
      <c r="F2">
        <v>7.5</v>
      </c>
      <c r="G2">
        <v>26.5</v>
      </c>
      <c r="I2">
        <v>0</v>
      </c>
      <c r="J2">
        <v>0</v>
      </c>
      <c r="K2">
        <v>0</v>
      </c>
    </row>
    <row r="3" spans="1:15" x14ac:dyDescent="0.3">
      <c r="A3">
        <v>2</v>
      </c>
      <c r="B3">
        <v>0.14599999999999999</v>
      </c>
      <c r="E3">
        <v>14.5</v>
      </c>
      <c r="F3">
        <v>18.5</v>
      </c>
      <c r="G3">
        <v>34.5</v>
      </c>
      <c r="I3">
        <v>3</v>
      </c>
      <c r="J3">
        <v>7</v>
      </c>
      <c r="K3">
        <v>3</v>
      </c>
      <c r="M3">
        <f>0.142857142857143*SIN(3.14159*(E3-7.5)/180)*SIN(3.14159*(E3-7.5)/180)/(2*0.142857142857143*(1-COS(3.14159*(E3-7.5)/180))-I3*(632.8/1000000))</f>
        <v>9.1743608452761176</v>
      </c>
      <c r="N3">
        <f>0.142857142857143*SIN(3.14159*(F3-7.5)/180)*SIN(3.14159*(F3-7.5)/180)/(2*0.142857142857143*(1-COS(3.14159*(F3-7.5)/180))-J3*(632.8/1000000))</f>
        <v>6.3446595859256467</v>
      </c>
      <c r="O3">
        <f>0.142857142857143*SIN(3.14159*(G3-7.5)/180)*SIN(3.14159*(G3-7.5)/180)/(2*0.142857142857143*(1-COS(3.14159*(G3-7.5)/180))-K3*(632.8/1000000))</f>
        <v>1.0068845961672197</v>
      </c>
    </row>
    <row r="4" spans="1:15" x14ac:dyDescent="0.3">
      <c r="A4">
        <v>3</v>
      </c>
      <c r="B4">
        <v>0.13800000000000001</v>
      </c>
      <c r="E4">
        <v>28.5</v>
      </c>
      <c r="F4">
        <v>22.5</v>
      </c>
      <c r="G4">
        <v>42.5</v>
      </c>
      <c r="I4">
        <v>15</v>
      </c>
      <c r="J4">
        <v>7</v>
      </c>
      <c r="K4">
        <v>5</v>
      </c>
      <c r="M4">
        <f t="shared" ref="M4:M5" si="0">0.142857142857143*SIN(3.14159*(E4-7.5)/180)*SIN(3.14159*(E4-7.5)/180)/(2*0.142857142857143*(1-COS(3.14159*(E4-7.5)/180))-I4*(632.8/1000000))</f>
        <v>1.9342951270216433</v>
      </c>
      <c r="N4">
        <f t="shared" ref="N4:N6" si="1">0.142857142857143*SIN(3.14159*(F4-7.5)/180)*SIN(3.14159*(F4-7.5)/180)/(2*0.142857142857143*(1-COS(3.14159*(F4-7.5)/180))-J4*(632.8/1000000))</f>
        <v>1.8035897822813802</v>
      </c>
      <c r="O4">
        <f t="shared" ref="O4" si="2">0.142857142857143*SIN(3.14159*(G4-7.5)/180)*SIN(3.14159*(G4-7.5)/180)/(2*0.142857142857143*(1-COS(3.14159*(G4-7.5)/180))-K4*(632.8/1000000))</f>
        <v>0.96890602448147034</v>
      </c>
    </row>
    <row r="5" spans="1:15" x14ac:dyDescent="0.3">
      <c r="A5">
        <v>4</v>
      </c>
      <c r="B5">
        <v>0.14599999999999999</v>
      </c>
      <c r="E5">
        <v>33.5</v>
      </c>
      <c r="F5">
        <v>27.5</v>
      </c>
      <c r="G5">
        <v>47</v>
      </c>
      <c r="I5">
        <v>13</v>
      </c>
      <c r="J5">
        <v>7</v>
      </c>
      <c r="K5">
        <v>5</v>
      </c>
      <c r="M5">
        <f t="shared" si="0"/>
        <v>1.3268883819250219</v>
      </c>
      <c r="N5">
        <f t="shared" si="1"/>
        <v>1.3054462621156921</v>
      </c>
      <c r="O5">
        <f>0.142857142857143*SIN(3.14159*(G5-7.5)/180)*SIN(3.14159*(G5-7.5)/180)/(2*0.142857142857143*(1-COS(3.14159*(G5-7.5)/180))-K5*(632.8/1000000))</f>
        <v>0.93095486134072114</v>
      </c>
    </row>
    <row r="6" spans="1:15" x14ac:dyDescent="0.3">
      <c r="A6">
        <v>5</v>
      </c>
      <c r="B6">
        <v>0.14399999999999999</v>
      </c>
      <c r="E6">
        <v>39.5</v>
      </c>
      <c r="F6">
        <v>31.5</v>
      </c>
      <c r="I6">
        <v>15</v>
      </c>
      <c r="J6">
        <v>7</v>
      </c>
      <c r="M6">
        <f>0.142857142857143*SIN(3.14159*(E6-7.5)/180)*SIN(3.14159*(E6-7.5)/180)/(2*0.142857142857143*(1-COS(3.14159*(E6-7.5)/180))-I6*(632.8/1000000))</f>
        <v>1.1825773658193535</v>
      </c>
      <c r="N6">
        <f t="shared" si="1"/>
        <v>1.1658391272767361</v>
      </c>
    </row>
    <row r="7" spans="1:15" x14ac:dyDescent="0.3">
      <c r="A7">
        <v>6</v>
      </c>
      <c r="B7">
        <v>0.13200000000000001</v>
      </c>
      <c r="J7">
        <v>7</v>
      </c>
    </row>
    <row r="8" spans="1:15" x14ac:dyDescent="0.3">
      <c r="A8">
        <v>7</v>
      </c>
      <c r="B8">
        <v>0.13700000000000001</v>
      </c>
    </row>
    <row r="9" spans="1:15" x14ac:dyDescent="0.3">
      <c r="A9" t="s">
        <v>17</v>
      </c>
      <c r="B9">
        <f>AVERAGE(B2:B8)</f>
        <v>0.14285714285714285</v>
      </c>
    </row>
    <row r="10" spans="1:15" x14ac:dyDescent="0.3">
      <c r="A10" t="s">
        <v>19</v>
      </c>
      <c r="B10">
        <f>_xlfn.STDEV.P(B2:B8)</f>
        <v>7.5295336874882457E-3</v>
      </c>
    </row>
    <row r="11" spans="1:15" x14ac:dyDescent="0.3">
      <c r="A11" t="s">
        <v>20</v>
      </c>
      <c r="B11">
        <f>B10/SQRT(6)</f>
        <v>3.0739192559071432E-3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测波长</vt:lpstr>
      <vt:lpstr>测波长计算</vt:lpstr>
      <vt:lpstr>测折射率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2025-07-17T13:29:16Z</dcterms:modified>
</cp:coreProperties>
</file>