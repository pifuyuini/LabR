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yangshuyun\Desktop\"/>
    </mc:Choice>
  </mc:AlternateContent>
  <xr:revisionPtr revIDLastSave="0" documentId="13_ncr:1_{62A65246-40D7-4E8C-916D-9E9FC2611A8B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测量光栅常数" sheetId="1" r:id="rId1"/>
    <sheet name="测量未知波长" sheetId="2" r:id="rId2"/>
    <sheet name="计算表1" sheetId="3" r:id="rId3"/>
    <sheet name="计算表2" sheetId="5" r:id="rId4"/>
    <sheet name="计算表3" sheetId="6" r:id="rId5"/>
    <sheet name="展示表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6" l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2" i="6"/>
  <c r="H19" i="4"/>
  <c r="G19" i="4"/>
  <c r="H24" i="4"/>
  <c r="G24" i="4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3" i="5"/>
  <c r="G8" i="3"/>
  <c r="F8" i="3"/>
  <c r="F16" i="5"/>
  <c r="F17" i="6"/>
  <c r="F16" i="6"/>
  <c r="F15" i="6"/>
  <c r="F12" i="6"/>
  <c r="F13" i="6"/>
  <c r="F14" i="6"/>
  <c r="F11" i="6"/>
  <c r="F10" i="6"/>
  <c r="F9" i="6"/>
  <c r="F8" i="6"/>
  <c r="F7" i="6"/>
  <c r="F6" i="6"/>
  <c r="F3" i="6"/>
  <c r="F4" i="6"/>
  <c r="F5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2" i="6"/>
  <c r="D17" i="6"/>
  <c r="C17" i="6"/>
  <c r="C16" i="6"/>
  <c r="D16" i="6" s="1"/>
  <c r="C15" i="6"/>
  <c r="D15" i="6" s="1"/>
  <c r="C14" i="6"/>
  <c r="D14" i="6" s="1"/>
  <c r="C13" i="6"/>
  <c r="D13" i="6" s="1"/>
  <c r="C12" i="6"/>
  <c r="D12" i="6" s="1"/>
  <c r="C11" i="6"/>
  <c r="D11" i="6" s="1"/>
  <c r="C10" i="6"/>
  <c r="D10" i="6" s="1"/>
  <c r="C9" i="6"/>
  <c r="D9" i="6" s="1"/>
  <c r="C8" i="6"/>
  <c r="D8" i="6" s="1"/>
  <c r="C7" i="6"/>
  <c r="D7" i="6" s="1"/>
  <c r="C6" i="6"/>
  <c r="D6" i="6" s="1"/>
  <c r="C5" i="6"/>
  <c r="D5" i="6" s="1"/>
  <c r="C4" i="6"/>
  <c r="D4" i="6" s="1"/>
  <c r="C3" i="6"/>
  <c r="D3" i="6" s="1"/>
  <c r="C2" i="6"/>
  <c r="D2" i="6" s="1"/>
  <c r="F17" i="5"/>
  <c r="F18" i="5"/>
  <c r="F15" i="5"/>
  <c r="F9" i="5"/>
  <c r="F10" i="5"/>
  <c r="E15" i="5"/>
  <c r="D15" i="5"/>
  <c r="F8" i="5"/>
  <c r="F7" i="5"/>
  <c r="F6" i="5"/>
  <c r="F3" i="5"/>
  <c r="F4" i="5"/>
  <c r="F5" i="5"/>
  <c r="F11" i="5"/>
  <c r="F12" i="5"/>
  <c r="F13" i="5"/>
  <c r="F14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6" i="5"/>
  <c r="E17" i="5"/>
  <c r="E18" i="5"/>
  <c r="E2" i="5"/>
  <c r="F7" i="3"/>
  <c r="G7" i="3"/>
  <c r="F2" i="3"/>
  <c r="G2" i="3" s="1"/>
  <c r="D3" i="5"/>
  <c r="D4" i="5"/>
  <c r="D5" i="5"/>
  <c r="D6" i="5"/>
  <c r="D7" i="5"/>
  <c r="D8" i="5"/>
  <c r="D9" i="5"/>
  <c r="D10" i="5"/>
  <c r="D11" i="5"/>
  <c r="D12" i="5"/>
  <c r="D13" i="5"/>
  <c r="D14" i="5"/>
  <c r="D16" i="5"/>
  <c r="D17" i="5"/>
  <c r="D18" i="5"/>
  <c r="D2" i="5"/>
  <c r="C3" i="5"/>
  <c r="C4" i="5"/>
  <c r="C5" i="5"/>
  <c r="C6" i="5"/>
  <c r="C7" i="5"/>
  <c r="C8" i="5"/>
  <c r="C9" i="5"/>
  <c r="C10" i="5"/>
  <c r="C11" i="5"/>
  <c r="C12" i="5"/>
  <c r="C13" i="5"/>
  <c r="C14" i="5"/>
  <c r="C16" i="5"/>
  <c r="C17" i="5"/>
  <c r="C18" i="5"/>
  <c r="C2" i="5"/>
  <c r="G3" i="3"/>
  <c r="G5" i="3"/>
  <c r="G6" i="3"/>
  <c r="F3" i="3"/>
  <c r="F5" i="3"/>
  <c r="F6" i="3"/>
  <c r="E3" i="3"/>
  <c r="E5" i="3"/>
  <c r="E6" i="3"/>
  <c r="E2" i="3"/>
  <c r="D6" i="3"/>
  <c r="D5" i="3"/>
  <c r="D3" i="3"/>
  <c r="D2" i="3"/>
  <c r="C3" i="3"/>
  <c r="C4" i="3"/>
  <c r="C5" i="3"/>
  <c r="C6" i="3"/>
  <c r="C2" i="3"/>
</calcChain>
</file>

<file path=xl/sharedStrings.xml><?xml version="1.0" encoding="utf-8"?>
<sst xmlns="http://schemas.openxmlformats.org/spreadsheetml/2006/main" count="183" uniqueCount="113">
  <si>
    <t>刻盘读数</t>
    <phoneticPr fontId="1" type="noConversion"/>
  </si>
  <si>
    <t>A</t>
    <phoneticPr fontId="1" type="noConversion"/>
  </si>
  <si>
    <t>B</t>
    <phoneticPr fontId="1" type="noConversion"/>
  </si>
  <si>
    <t>φ</t>
    <phoneticPr fontId="1" type="noConversion"/>
  </si>
  <si>
    <t>‘-2级</t>
    <phoneticPr fontId="1" type="noConversion"/>
  </si>
  <si>
    <t>’-1级</t>
    <phoneticPr fontId="1" type="noConversion"/>
  </si>
  <si>
    <t>0级</t>
    <phoneticPr fontId="1" type="noConversion"/>
  </si>
  <si>
    <t>1级</t>
    <phoneticPr fontId="1" type="noConversion"/>
  </si>
  <si>
    <t>2级</t>
    <phoneticPr fontId="1" type="noConversion"/>
  </si>
  <si>
    <t>356°30′</t>
    <phoneticPr fontId="1" type="noConversion"/>
  </si>
  <si>
    <t>346°0′</t>
    <phoneticPr fontId="1" type="noConversion"/>
  </si>
  <si>
    <t>166°2′</t>
    <phoneticPr fontId="1" type="noConversion"/>
  </si>
  <si>
    <t>176°32′</t>
    <phoneticPr fontId="1" type="noConversion"/>
  </si>
  <si>
    <t>6°43′</t>
    <phoneticPr fontId="1" type="noConversion"/>
  </si>
  <si>
    <t>186°43′</t>
    <phoneticPr fontId="1" type="noConversion"/>
  </si>
  <si>
    <t>16°53′</t>
    <phoneticPr fontId="1" type="noConversion"/>
  </si>
  <si>
    <t>196°55′</t>
    <phoneticPr fontId="1" type="noConversion"/>
  </si>
  <si>
    <t>27°26′</t>
    <phoneticPr fontId="1" type="noConversion"/>
  </si>
  <si>
    <t>207°30’</t>
    <phoneticPr fontId="1" type="noConversion"/>
  </si>
  <si>
    <t>256°1'</t>
    <phoneticPr fontId="1" type="noConversion"/>
  </si>
  <si>
    <t>266°31'</t>
    <phoneticPr fontId="1" type="noConversion"/>
  </si>
  <si>
    <t>96°43'</t>
    <phoneticPr fontId="1" type="noConversion"/>
  </si>
  <si>
    <t>106°54'</t>
    <phoneticPr fontId="1" type="noConversion"/>
  </si>
  <si>
    <t>117°28'</t>
  </si>
  <si>
    <t>φ/degree</t>
    <phoneticPr fontId="1" type="noConversion"/>
  </si>
  <si>
    <t>m</t>
    <phoneticPr fontId="1" type="noConversion"/>
  </si>
  <si>
    <t>φ/rad</t>
    <phoneticPr fontId="1" type="noConversion"/>
  </si>
  <si>
    <t>θ/rad</t>
    <phoneticPr fontId="1" type="noConversion"/>
  </si>
  <si>
    <t>sinθ</t>
    <phoneticPr fontId="1" type="noConversion"/>
  </si>
  <si>
    <t>d/nm</t>
    <phoneticPr fontId="1" type="noConversion"/>
  </si>
  <si>
    <t>d/m</t>
    <phoneticPr fontId="1" type="noConversion"/>
  </si>
  <si>
    <t>6°45′</t>
    <phoneticPr fontId="1" type="noConversion"/>
  </si>
  <si>
    <t>186°45′</t>
    <phoneticPr fontId="1" type="noConversion"/>
  </si>
  <si>
    <t>蓝1级</t>
    <phoneticPr fontId="1" type="noConversion"/>
  </si>
  <si>
    <t>绿1级</t>
    <phoneticPr fontId="1" type="noConversion"/>
  </si>
  <si>
    <t>黄1级</t>
    <phoneticPr fontId="1" type="noConversion"/>
  </si>
  <si>
    <t>X1Y1级</t>
    <phoneticPr fontId="1" type="noConversion"/>
  </si>
  <si>
    <t>绿2级</t>
    <phoneticPr fontId="1" type="noConversion"/>
  </si>
  <si>
    <t>黄2级</t>
    <phoneticPr fontId="1" type="noConversion"/>
  </si>
  <si>
    <t>X2Y2级</t>
    <phoneticPr fontId="1" type="noConversion"/>
  </si>
  <si>
    <t>X3Y3级</t>
    <phoneticPr fontId="1" type="noConversion"/>
  </si>
  <si>
    <t>紫？-1级</t>
    <phoneticPr fontId="1" type="noConversion"/>
  </si>
  <si>
    <t>蓝-1级</t>
    <phoneticPr fontId="1" type="noConversion"/>
  </si>
  <si>
    <t>绿-1级</t>
    <phoneticPr fontId="1" type="noConversion"/>
  </si>
  <si>
    <t>黄-1级</t>
    <phoneticPr fontId="1" type="noConversion"/>
  </si>
  <si>
    <t>紫？-2级</t>
    <phoneticPr fontId="1" type="noConversion"/>
  </si>
  <si>
    <t>蓝？-2级</t>
    <phoneticPr fontId="1" type="noConversion"/>
  </si>
  <si>
    <t>绿-2级</t>
    <phoneticPr fontId="1" type="noConversion"/>
  </si>
  <si>
    <t>黄-2级</t>
    <phoneticPr fontId="1" type="noConversion"/>
  </si>
  <si>
    <t>14°14′</t>
    <phoneticPr fontId="1" type="noConversion"/>
  </si>
  <si>
    <t>194°14′</t>
    <phoneticPr fontId="1" type="noConversion"/>
  </si>
  <si>
    <t>16°8′</t>
    <phoneticPr fontId="1" type="noConversion"/>
  </si>
  <si>
    <t>196°10’</t>
    <phoneticPr fontId="1" type="noConversion"/>
  </si>
  <si>
    <t>16°43′</t>
    <phoneticPr fontId="1" type="noConversion"/>
  </si>
  <si>
    <t>196°44′</t>
    <phoneticPr fontId="1" type="noConversion"/>
  </si>
  <si>
    <t>21°53′</t>
    <phoneticPr fontId="1" type="noConversion"/>
  </si>
  <si>
    <t>201°56′</t>
    <phoneticPr fontId="1" type="noConversion"/>
  </si>
  <si>
    <t>25°50′</t>
    <phoneticPr fontId="1" type="noConversion"/>
  </si>
  <si>
    <t>205°54′</t>
    <phoneticPr fontId="1" type="noConversion"/>
  </si>
  <si>
    <t>28°1′</t>
    <phoneticPr fontId="1" type="noConversion"/>
  </si>
  <si>
    <t>208°4′</t>
    <phoneticPr fontId="1" type="noConversion"/>
  </si>
  <si>
    <t>29°45′</t>
    <phoneticPr fontId="1" type="noConversion"/>
  </si>
  <si>
    <t>209°50′</t>
    <phoneticPr fontId="1" type="noConversion"/>
  </si>
  <si>
    <t>26°57′</t>
    <phoneticPr fontId="1" type="noConversion"/>
  </si>
  <si>
    <t>207°0′</t>
    <phoneticPr fontId="1" type="noConversion"/>
  </si>
  <si>
    <t>359°45′</t>
    <phoneticPr fontId="1" type="noConversion"/>
  </si>
  <si>
    <t>179°44′</t>
    <phoneticPr fontId="1" type="noConversion"/>
  </si>
  <si>
    <t>359°13′</t>
    <phoneticPr fontId="1" type="noConversion"/>
  </si>
  <si>
    <t>179°10′</t>
    <phoneticPr fontId="1" type="noConversion"/>
  </si>
  <si>
    <t>357°15′</t>
    <phoneticPr fontId="1" type="noConversion"/>
  </si>
  <si>
    <t>177°12′</t>
    <phoneticPr fontId="1" type="noConversion"/>
  </si>
  <si>
    <t>356°43′</t>
    <phoneticPr fontId="1" type="noConversion"/>
  </si>
  <si>
    <t>176°42′</t>
    <phoneticPr fontId="1" type="noConversion"/>
  </si>
  <si>
    <t>351°28′</t>
    <phoneticPr fontId="1" type="noConversion"/>
  </si>
  <si>
    <t>缺失</t>
    <phoneticPr fontId="1" type="noConversion"/>
  </si>
  <si>
    <t>343°30′</t>
    <phoneticPr fontId="1" type="noConversion"/>
  </si>
  <si>
    <t>153°30′</t>
    <phoneticPr fontId="1" type="noConversion"/>
  </si>
  <si>
    <t>347°30′</t>
    <phoneticPr fontId="1" type="noConversion"/>
  </si>
  <si>
    <t>167°30′</t>
    <phoneticPr fontId="1" type="noConversion"/>
  </si>
  <si>
    <t>346°20′</t>
    <phoneticPr fontId="1" type="noConversion"/>
  </si>
  <si>
    <t>166°20′</t>
    <phoneticPr fontId="1" type="noConversion"/>
  </si>
  <si>
    <t>96°45'0.0"</t>
  </si>
  <si>
    <t>104°14'</t>
    <phoneticPr fontId="1" type="noConversion"/>
  </si>
  <si>
    <t>106°9'</t>
    <phoneticPr fontId="1" type="noConversion"/>
  </si>
  <si>
    <t>106°43'30''</t>
    <phoneticPr fontId="1" type="noConversion"/>
  </si>
  <si>
    <t>111°54'30''</t>
    <phoneticPr fontId="1" type="noConversion"/>
  </si>
  <si>
    <t>115°52'</t>
  </si>
  <si>
    <t>116°58'30''</t>
    <phoneticPr fontId="1" type="noConversion"/>
  </si>
  <si>
    <t>118°2'30''</t>
    <phoneticPr fontId="1" type="noConversion"/>
  </si>
  <si>
    <t>119°47'30''</t>
    <phoneticPr fontId="1" type="noConversion"/>
  </si>
  <si>
    <t>269°44'30''</t>
    <phoneticPr fontId="1" type="noConversion"/>
  </si>
  <si>
    <t>269°11'30''</t>
    <phoneticPr fontId="1" type="noConversion"/>
  </si>
  <si>
    <t>267°13'30''</t>
    <phoneticPr fontId="1" type="noConversion"/>
  </si>
  <si>
    <t>266°42'30''</t>
    <phoneticPr fontId="1" type="noConversion"/>
  </si>
  <si>
    <t>248°30'0.0"</t>
  </si>
  <si>
    <t>257°30'0.0"</t>
  </si>
  <si>
    <t>256°20'</t>
    <phoneticPr fontId="1" type="noConversion"/>
  </si>
  <si>
    <t>均值</t>
    <phoneticPr fontId="1" type="noConversion"/>
  </si>
  <si>
    <t>λ/nm</t>
    <phoneticPr fontId="1" type="noConversion"/>
  </si>
  <si>
    <t>备注</t>
    <phoneticPr fontId="1" type="noConversion"/>
  </si>
  <si>
    <t>蓝2级</t>
    <phoneticPr fontId="1" type="noConversion"/>
  </si>
  <si>
    <t>紫3级</t>
    <phoneticPr fontId="1" type="noConversion"/>
  </si>
  <si>
    <t>紫-1级</t>
    <phoneticPr fontId="1" type="noConversion"/>
  </si>
  <si>
    <t>蓝-2级</t>
    <phoneticPr fontId="1" type="noConversion"/>
  </si>
  <si>
    <t>紫-4级</t>
    <phoneticPr fontId="1" type="noConversion"/>
  </si>
  <si>
    <t>蓝3级</t>
    <phoneticPr fontId="1" type="noConversion"/>
  </si>
  <si>
    <t>cosθ</t>
    <phoneticPr fontId="1" type="noConversion"/>
  </si>
  <si>
    <t>D/nm^-1</t>
    <phoneticPr fontId="1" type="noConversion"/>
  </si>
  <si>
    <t>实验标准差</t>
    <phoneticPr fontId="1" type="noConversion"/>
  </si>
  <si>
    <t>相对误差</t>
  </si>
  <si>
    <t>相对误差</t>
    <phoneticPr fontId="1" type="noConversion"/>
  </si>
  <si>
    <t>λ/nm</t>
  </si>
  <si>
    <t>参考值/nm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</si>
</sst>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"/>
    <numFmt numFmtId="177" formatCode="0.00000"/>
    <numFmt numFmtId="178" formatCode="0.0"/>
    <numFmt numFmtId="179" formatCode="0.0000E+00"/>
    <numFmt numFmtId="180" formatCode="0.0E+00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11">
    <xf numFmtId="0" fontId="0" fillId="0" borderId="0" xfId="0"/>
    <xf numFmtId="2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1" fontId="0" fillId="0" borderId="0" xfId="0" applyNumberFormat="1"/>
    <xf numFmtId="10" fontId="0" fillId="0" borderId="0" xfId="1" applyNumberFormat="1" applyFont="1" applyAlignment="1"/>
    <xf numFmtId="10" fontId="0" fillId="0" borderId="0" xfId="0" applyNumberFormat="1"/>
    <xf numFmtId="0" fontId="0" fillId="0" borderId="0" xfId="0" applyNumberForma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E29" sqref="E29"/>
    </sheetView>
  </sheetViews>
  <sheetFormatPr defaultRowHeight="14" x14ac:dyDescent="0.3"/>
  <sheetData>
    <row r="1" spans="1:6" x14ac:dyDescent="0.3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 x14ac:dyDescent="0.3">
      <c r="A2" t="s">
        <v>1</v>
      </c>
      <c r="B2" t="s">
        <v>10</v>
      </c>
      <c r="C2" t="s">
        <v>9</v>
      </c>
      <c r="D2" t="s">
        <v>13</v>
      </c>
      <c r="E2" t="s">
        <v>15</v>
      </c>
      <c r="F2" t="s">
        <v>17</v>
      </c>
    </row>
    <row r="3" spans="1:6" x14ac:dyDescent="0.3">
      <c r="A3" t="s">
        <v>2</v>
      </c>
      <c r="B3" t="s">
        <v>11</v>
      </c>
      <c r="C3" t="s">
        <v>12</v>
      </c>
      <c r="D3" t="s">
        <v>14</v>
      </c>
      <c r="E3" t="s">
        <v>16</v>
      </c>
      <c r="F3" t="s">
        <v>18</v>
      </c>
    </row>
    <row r="4" spans="1:6" x14ac:dyDescent="0.3">
      <c r="A4" t="s">
        <v>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CBE2-7A4D-4E5D-8504-10E33745D011}">
  <dimension ref="A1:J8"/>
  <sheetViews>
    <sheetView workbookViewId="0">
      <selection sqref="A1:J8"/>
    </sheetView>
  </sheetViews>
  <sheetFormatPr defaultRowHeight="14" x14ac:dyDescent="0.3"/>
  <sheetData>
    <row r="1" spans="1:10" x14ac:dyDescent="0.3">
      <c r="A1" t="s">
        <v>0</v>
      </c>
      <c r="B1" t="s">
        <v>6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</row>
    <row r="2" spans="1:10" x14ac:dyDescent="0.3">
      <c r="A2" t="s">
        <v>1</v>
      </c>
      <c r="B2" t="s">
        <v>31</v>
      </c>
      <c r="C2" t="s">
        <v>49</v>
      </c>
      <c r="D2" t="s">
        <v>51</v>
      </c>
      <c r="E2" t="s">
        <v>53</v>
      </c>
      <c r="F2" t="s">
        <v>55</v>
      </c>
      <c r="G2" t="s">
        <v>57</v>
      </c>
      <c r="H2" t="s">
        <v>63</v>
      </c>
      <c r="I2" t="s">
        <v>59</v>
      </c>
      <c r="J2" t="s">
        <v>61</v>
      </c>
    </row>
    <row r="3" spans="1:10" x14ac:dyDescent="0.3">
      <c r="A3" t="s">
        <v>2</v>
      </c>
      <c r="B3" t="s">
        <v>32</v>
      </c>
      <c r="C3" t="s">
        <v>50</v>
      </c>
      <c r="D3" t="s">
        <v>52</v>
      </c>
      <c r="E3" t="s">
        <v>54</v>
      </c>
      <c r="F3" t="s">
        <v>56</v>
      </c>
      <c r="G3" t="s">
        <v>58</v>
      </c>
      <c r="H3" t="s">
        <v>64</v>
      </c>
      <c r="I3" t="s">
        <v>60</v>
      </c>
      <c r="J3" t="s">
        <v>62</v>
      </c>
    </row>
    <row r="4" spans="1:10" x14ac:dyDescent="0.3">
      <c r="A4" t="s">
        <v>3</v>
      </c>
      <c r="B4" t="s">
        <v>81</v>
      </c>
      <c r="C4" t="s">
        <v>82</v>
      </c>
      <c r="D4" t="s">
        <v>83</v>
      </c>
      <c r="E4" t="s">
        <v>84</v>
      </c>
      <c r="F4" t="s">
        <v>85</v>
      </c>
      <c r="G4" t="s">
        <v>86</v>
      </c>
      <c r="H4" t="s">
        <v>87</v>
      </c>
      <c r="I4" t="s">
        <v>88</v>
      </c>
      <c r="J4" t="s">
        <v>89</v>
      </c>
    </row>
    <row r="5" spans="1:10" x14ac:dyDescent="0.3">
      <c r="A5" t="s">
        <v>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</row>
    <row r="6" spans="1:10" x14ac:dyDescent="0.3">
      <c r="A6" t="s">
        <v>1</v>
      </c>
      <c r="B6" t="s">
        <v>65</v>
      </c>
      <c r="C6" t="s">
        <v>67</v>
      </c>
      <c r="D6" t="s">
        <v>69</v>
      </c>
      <c r="E6" t="s">
        <v>71</v>
      </c>
      <c r="F6" t="s">
        <v>73</v>
      </c>
      <c r="G6" t="s">
        <v>75</v>
      </c>
      <c r="H6" t="s">
        <v>77</v>
      </c>
      <c r="I6" t="s">
        <v>79</v>
      </c>
    </row>
    <row r="7" spans="1:10" x14ac:dyDescent="0.3">
      <c r="A7" t="s">
        <v>2</v>
      </c>
      <c r="B7" t="s">
        <v>66</v>
      </c>
      <c r="C7" t="s">
        <v>68</v>
      </c>
      <c r="D7" t="s">
        <v>70</v>
      </c>
      <c r="E7" t="s">
        <v>72</v>
      </c>
      <c r="F7" t="s">
        <v>74</v>
      </c>
      <c r="G7" t="s">
        <v>76</v>
      </c>
      <c r="H7" t="s">
        <v>78</v>
      </c>
      <c r="I7" t="s">
        <v>80</v>
      </c>
    </row>
    <row r="8" spans="1:10" x14ac:dyDescent="0.3">
      <c r="A8" t="s">
        <v>3</v>
      </c>
      <c r="B8" t="s">
        <v>90</v>
      </c>
      <c r="C8" t="s">
        <v>91</v>
      </c>
      <c r="D8" t="s">
        <v>92</v>
      </c>
      <c r="E8" t="s">
        <v>93</v>
      </c>
      <c r="F8" t="s">
        <v>74</v>
      </c>
      <c r="G8" t="s">
        <v>94</v>
      </c>
      <c r="H8" t="s">
        <v>95</v>
      </c>
      <c r="I8" t="s">
        <v>96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234BE-F875-43E9-845E-23D1F9494CFF}">
  <dimension ref="A1:G8"/>
  <sheetViews>
    <sheetView workbookViewId="0">
      <selection activeCell="K9" sqref="K9"/>
    </sheetView>
  </sheetViews>
  <sheetFormatPr defaultRowHeight="14" x14ac:dyDescent="0.3"/>
  <cols>
    <col min="7" max="7" width="11.4140625" bestFit="1" customWidth="1"/>
  </cols>
  <sheetData>
    <row r="1" spans="1:7" x14ac:dyDescent="0.3">
      <c r="A1" t="s">
        <v>25</v>
      </c>
      <c r="B1" t="s">
        <v>24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 x14ac:dyDescent="0.3">
      <c r="A2">
        <v>-2</v>
      </c>
      <c r="B2" s="1">
        <v>256.01666666666603</v>
      </c>
      <c r="C2" s="2">
        <f>3.14159*B2/180</f>
        <v>4.4683299990740633</v>
      </c>
      <c r="D2" s="2">
        <f>C2-C4</f>
        <v>2.7803071499999907</v>
      </c>
      <c r="E2" s="3">
        <f>SIN(D2)</f>
        <v>0.35347704060027918</v>
      </c>
      <c r="F2" s="4">
        <f>ABS(A2*589.3/E2)</f>
        <v>3334.3042535336567</v>
      </c>
      <c r="G2" s="5">
        <f>F2/10^9</f>
        <v>3.3343042535336567E-6</v>
      </c>
    </row>
    <row r="3" spans="1:7" x14ac:dyDescent="0.3">
      <c r="A3">
        <v>-1</v>
      </c>
      <c r="B3" s="1">
        <v>266.51666666666603</v>
      </c>
      <c r="C3" s="2">
        <f t="shared" ref="C3:C6" si="0">3.14159*B3/180</f>
        <v>4.6515894157407294</v>
      </c>
      <c r="D3" s="2">
        <f>C3-C4</f>
        <v>2.9635665666666569</v>
      </c>
      <c r="E3" s="3">
        <f t="shared" ref="E3:E6" si="1">SIN(D3)</f>
        <v>0.17708720397687752</v>
      </c>
      <c r="F3" s="4">
        <f t="shared" ref="F3:F6" si="2">ABS(A3*589.3/E3)</f>
        <v>3327.7390278122271</v>
      </c>
      <c r="G3" s="5">
        <f t="shared" ref="G3:G7" si="3">F3/10^9</f>
        <v>3.3277390278122272E-6</v>
      </c>
    </row>
    <row r="4" spans="1:7" x14ac:dyDescent="0.3">
      <c r="A4">
        <v>0</v>
      </c>
      <c r="B4" s="1">
        <v>96.716666666666598</v>
      </c>
      <c r="C4" s="2">
        <f t="shared" si="0"/>
        <v>1.6880228490740727</v>
      </c>
      <c r="D4" s="2"/>
      <c r="E4" s="3"/>
      <c r="F4" s="4"/>
      <c r="G4" s="5"/>
    </row>
    <row r="5" spans="1:7" x14ac:dyDescent="0.3">
      <c r="A5">
        <v>1</v>
      </c>
      <c r="B5" s="1">
        <v>106.899999999999</v>
      </c>
      <c r="C5" s="2">
        <f t="shared" si="0"/>
        <v>1.865755394444427</v>
      </c>
      <c r="D5" s="2">
        <f>C5-C4</f>
        <v>0.17773254537035421</v>
      </c>
      <c r="E5" s="3">
        <f t="shared" si="1"/>
        <v>0.17679829417463949</v>
      </c>
      <c r="F5" s="4">
        <f t="shared" si="2"/>
        <v>3333.1769559829327</v>
      </c>
      <c r="G5" s="5">
        <f t="shared" si="3"/>
        <v>3.3331769559829327E-6</v>
      </c>
    </row>
    <row r="6" spans="1:7" x14ac:dyDescent="0.3">
      <c r="A6">
        <v>2</v>
      </c>
      <c r="B6" s="1">
        <v>117.466666666666</v>
      </c>
      <c r="C6" s="2">
        <f t="shared" si="0"/>
        <v>2.0501783629629511</v>
      </c>
      <c r="D6" s="2">
        <f>C6-C4</f>
        <v>0.36215551388887834</v>
      </c>
      <c r="E6" s="3">
        <f t="shared" si="1"/>
        <v>0.35429075193989001</v>
      </c>
      <c r="F6" s="4">
        <f t="shared" si="2"/>
        <v>3326.6462461881156</v>
      </c>
      <c r="G6" s="5">
        <f t="shared" si="3"/>
        <v>3.3266462461881157E-6</v>
      </c>
    </row>
    <row r="7" spans="1:7" x14ac:dyDescent="0.3">
      <c r="A7" t="s">
        <v>97</v>
      </c>
      <c r="F7" s="4">
        <f>AVERAGE(F5:F6,F2:F3)</f>
        <v>3330.4666208792332</v>
      </c>
      <c r="G7" s="5">
        <f t="shared" si="3"/>
        <v>3.3304666208792331E-6</v>
      </c>
    </row>
    <row r="8" spans="1:7" x14ac:dyDescent="0.3">
      <c r="A8" t="s">
        <v>108</v>
      </c>
      <c r="F8" s="4">
        <f>_xlfn.STDEV.P(F2:F3,F5:F6)/SQRT(3)</f>
        <v>1.9172108100996477</v>
      </c>
      <c r="G8" s="6">
        <f>_xlfn.STDEV.P(G2:G3,G5:G6)/SQRT(3)</f>
        <v>1.9172108100995908E-9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0717F-320F-4E2F-ACC5-212FE0919A04}">
  <dimension ref="A1:I18"/>
  <sheetViews>
    <sheetView workbookViewId="0">
      <selection activeCell="I1" sqref="I1:I18"/>
    </sheetView>
  </sheetViews>
  <sheetFormatPr defaultRowHeight="14" x14ac:dyDescent="0.3"/>
  <sheetData>
    <row r="1" spans="1:9" x14ac:dyDescent="0.3">
      <c r="A1" t="s">
        <v>25</v>
      </c>
      <c r="B1" t="s">
        <v>24</v>
      </c>
      <c r="C1" t="s">
        <v>26</v>
      </c>
      <c r="D1" t="s">
        <v>27</v>
      </c>
      <c r="E1" t="s">
        <v>28</v>
      </c>
      <c r="F1" t="s">
        <v>98</v>
      </c>
      <c r="G1" t="s">
        <v>99</v>
      </c>
      <c r="H1" t="s">
        <v>110</v>
      </c>
    </row>
    <row r="2" spans="1:9" x14ac:dyDescent="0.3">
      <c r="A2" t="s">
        <v>6</v>
      </c>
      <c r="B2" s="1">
        <v>96.75</v>
      </c>
      <c r="C2" s="2">
        <f>B2*3.14159/180</f>
        <v>1.688604625</v>
      </c>
      <c r="D2" s="2">
        <f>C2-1.688604625</f>
        <v>0</v>
      </c>
      <c r="E2" s="3">
        <f>SIN(D2)</f>
        <v>0</v>
      </c>
      <c r="F2" s="4">
        <f>3330.46662087923*E2</f>
        <v>0</v>
      </c>
    </row>
    <row r="3" spans="1:9" x14ac:dyDescent="0.3">
      <c r="A3" t="s">
        <v>33</v>
      </c>
      <c r="B3" s="1">
        <v>104.23</v>
      </c>
      <c r="C3" s="2">
        <f t="shared" ref="C3:C18" si="0">B3*3.14159/180</f>
        <v>1.8191551427777777</v>
      </c>
      <c r="D3" s="2">
        <f t="shared" ref="D3:D18" si="1">C3-1.688604625</f>
        <v>0.13055051777777771</v>
      </c>
      <c r="E3" s="3">
        <f t="shared" ref="E3:E18" si="2">SIN(D3)</f>
        <v>0.13017999539828098</v>
      </c>
      <c r="F3" s="4">
        <f t="shared" ref="F3:F14" si="3">3330.46662087923*E3</f>
        <v>433.56012938018659</v>
      </c>
      <c r="H3" s="8">
        <f>(F3-I3)/I3</f>
        <v>-5.1396755847026533E-3</v>
      </c>
      <c r="I3">
        <v>435.8</v>
      </c>
    </row>
    <row r="4" spans="1:9" x14ac:dyDescent="0.3">
      <c r="A4" t="s">
        <v>34</v>
      </c>
      <c r="B4" s="1">
        <v>106.15</v>
      </c>
      <c r="C4" s="2">
        <f t="shared" si="0"/>
        <v>1.8526654361111112</v>
      </c>
      <c r="D4" s="2">
        <f t="shared" si="1"/>
        <v>0.16406081111111126</v>
      </c>
      <c r="E4" s="3">
        <f t="shared" si="2"/>
        <v>0.16332582552604588</v>
      </c>
      <c r="F4" s="4">
        <f t="shared" si="3"/>
        <v>543.9512102420407</v>
      </c>
      <c r="H4" s="8">
        <f t="shared" ref="H4:H18" si="4">(F4-I4)/I4</f>
        <v>-3.9347917193908091E-3</v>
      </c>
      <c r="I4">
        <v>546.1</v>
      </c>
    </row>
    <row r="5" spans="1:9" x14ac:dyDescent="0.3">
      <c r="A5" t="s">
        <v>35</v>
      </c>
      <c r="B5" s="1">
        <v>106.72499999999999</v>
      </c>
      <c r="C5" s="2">
        <f t="shared" si="0"/>
        <v>1.8627010708333334</v>
      </c>
      <c r="D5" s="2">
        <f t="shared" si="1"/>
        <v>0.17409644583333339</v>
      </c>
      <c r="E5" s="3">
        <f t="shared" si="2"/>
        <v>0.17321831287558956</v>
      </c>
      <c r="F5" s="4">
        <f t="shared" si="3"/>
        <v>576.89780915716597</v>
      </c>
      <c r="H5" s="8">
        <f t="shared" si="4"/>
        <v>-2.2521460443342776E-3</v>
      </c>
      <c r="I5">
        <v>578.20000000000005</v>
      </c>
    </row>
    <row r="6" spans="1:9" x14ac:dyDescent="0.3">
      <c r="A6" t="s">
        <v>36</v>
      </c>
      <c r="B6" s="1">
        <v>111.91</v>
      </c>
      <c r="C6" s="2">
        <f t="shared" si="0"/>
        <v>1.953196316111111</v>
      </c>
      <c r="D6" s="2">
        <f t="shared" si="1"/>
        <v>0.26459169111111103</v>
      </c>
      <c r="E6" s="3">
        <f t="shared" si="2"/>
        <v>0.26151519048151178</v>
      </c>
      <c r="F6" s="4">
        <f>3330.46662087923*E6/2</f>
        <v>435.48380637577435</v>
      </c>
      <c r="G6" t="s">
        <v>100</v>
      </c>
      <c r="H6" s="8">
        <f t="shared" si="4"/>
        <v>-7.2554755444162813E-4</v>
      </c>
      <c r="I6">
        <v>435.8</v>
      </c>
    </row>
    <row r="7" spans="1:9" x14ac:dyDescent="0.3">
      <c r="A7" t="s">
        <v>37</v>
      </c>
      <c r="B7" s="1">
        <v>115.87</v>
      </c>
      <c r="C7" s="2">
        <f t="shared" si="0"/>
        <v>2.0223112961111109</v>
      </c>
      <c r="D7" s="2">
        <f t="shared" si="1"/>
        <v>0.33370667111111096</v>
      </c>
      <c r="E7" s="3">
        <f t="shared" si="2"/>
        <v>0.32754746211201208</v>
      </c>
      <c r="F7" s="4">
        <f>3330.46662087923*E7/2</f>
        <v>545.44294465888026</v>
      </c>
      <c r="H7" s="8">
        <f t="shared" si="4"/>
        <v>-1.2031776984430653E-3</v>
      </c>
      <c r="I7">
        <v>546.1</v>
      </c>
    </row>
    <row r="8" spans="1:9" x14ac:dyDescent="0.3">
      <c r="A8" t="s">
        <v>38</v>
      </c>
      <c r="B8" s="1">
        <v>116.97499999999999</v>
      </c>
      <c r="C8" s="2">
        <f t="shared" si="0"/>
        <v>2.0415971680555551</v>
      </c>
      <c r="D8" s="2">
        <f t="shared" si="1"/>
        <v>0.35299254305555516</v>
      </c>
      <c r="E8" s="3">
        <f t="shared" si="2"/>
        <v>0.34570738117051736</v>
      </c>
      <c r="F8" s="4">
        <f>3330.46662087923*E8/2</f>
        <v>575.6834467899904</v>
      </c>
      <c r="H8" s="8">
        <f t="shared" si="4"/>
        <v>-4.3523922691277184E-3</v>
      </c>
      <c r="I8">
        <v>578.20000000000005</v>
      </c>
    </row>
    <row r="9" spans="1:9" x14ac:dyDescent="0.3">
      <c r="A9" t="s">
        <v>39</v>
      </c>
      <c r="B9" s="1">
        <v>118.04</v>
      </c>
      <c r="C9" s="2">
        <f t="shared" si="0"/>
        <v>2.0601849088888891</v>
      </c>
      <c r="D9" s="2">
        <f t="shared" si="1"/>
        <v>0.37158028388888908</v>
      </c>
      <c r="E9" s="3">
        <f t="shared" si="2"/>
        <v>0.36308832170466188</v>
      </c>
      <c r="F9" s="4">
        <f>3330.46662087923*E9/3</f>
        <v>403.08451195614538</v>
      </c>
      <c r="G9" t="s">
        <v>101</v>
      </c>
      <c r="H9" s="8">
        <f t="shared" si="4"/>
        <v>-3.9918162684818674E-3</v>
      </c>
      <c r="I9">
        <v>404.7</v>
      </c>
    </row>
    <row r="10" spans="1:9" x14ac:dyDescent="0.3">
      <c r="A10" t="s">
        <v>40</v>
      </c>
      <c r="B10" s="1">
        <v>119.79</v>
      </c>
      <c r="C10" s="2">
        <f t="shared" si="0"/>
        <v>2.0907281449999999</v>
      </c>
      <c r="D10" s="2">
        <f t="shared" si="1"/>
        <v>0.40212351999999996</v>
      </c>
      <c r="E10" s="3">
        <f t="shared" si="2"/>
        <v>0.39137335427169662</v>
      </c>
      <c r="F10" s="4">
        <f>3330.46662087923*E10/3</f>
        <v>434.48529756780908</v>
      </c>
      <c r="G10" t="s">
        <v>105</v>
      </c>
      <c r="H10" s="8">
        <f t="shared" si="4"/>
        <v>-3.0167563841003373E-3</v>
      </c>
      <c r="I10">
        <v>435.8</v>
      </c>
    </row>
    <row r="11" spans="1:9" x14ac:dyDescent="0.3">
      <c r="A11" t="s">
        <v>41</v>
      </c>
      <c r="B11" s="1">
        <v>269.74</v>
      </c>
      <c r="C11" s="2">
        <f t="shared" si="0"/>
        <v>4.7078471477777777</v>
      </c>
      <c r="D11" s="2">
        <f t="shared" si="1"/>
        <v>3.0192425227777777</v>
      </c>
      <c r="E11" s="3">
        <f t="shared" si="2"/>
        <v>0.12204510471471045</v>
      </c>
      <c r="F11" s="4">
        <f t="shared" si="3"/>
        <v>406.46714749405351</v>
      </c>
      <c r="G11" t="s">
        <v>102</v>
      </c>
      <c r="H11" s="8">
        <f t="shared" si="4"/>
        <v>4.3665616359118307E-3</v>
      </c>
      <c r="I11">
        <v>404.7</v>
      </c>
    </row>
    <row r="12" spans="1:9" x14ac:dyDescent="0.3">
      <c r="A12" t="s">
        <v>42</v>
      </c>
      <c r="B12" s="1">
        <v>269.19</v>
      </c>
      <c r="C12" s="2">
        <f t="shared" si="0"/>
        <v>4.698247845</v>
      </c>
      <c r="D12" s="2">
        <f t="shared" si="1"/>
        <v>3.0096432200000001</v>
      </c>
      <c r="E12" s="3">
        <f t="shared" si="2"/>
        <v>0.13156687913366899</v>
      </c>
      <c r="F12" s="4">
        <f t="shared" si="3"/>
        <v>438.17909936793666</v>
      </c>
      <c r="H12" s="8">
        <f t="shared" si="4"/>
        <v>5.4591541256003824E-3</v>
      </c>
      <c r="I12">
        <v>435.8</v>
      </c>
    </row>
    <row r="13" spans="1:9" x14ac:dyDescent="0.3">
      <c r="A13" t="s">
        <v>43</v>
      </c>
      <c r="B13" s="1">
        <v>267.22500000000002</v>
      </c>
      <c r="C13" s="2">
        <f t="shared" si="0"/>
        <v>4.6639521541666671</v>
      </c>
      <c r="D13" s="2">
        <f t="shared" si="1"/>
        <v>2.9753475291666671</v>
      </c>
      <c r="E13" s="3">
        <f t="shared" si="2"/>
        <v>0.16548041693574728</v>
      </c>
      <c r="F13" s="4">
        <f t="shared" si="3"/>
        <v>551.12700501368431</v>
      </c>
      <c r="H13" s="8">
        <f t="shared" si="4"/>
        <v>9.2052829402752018E-3</v>
      </c>
      <c r="I13">
        <v>546.1</v>
      </c>
    </row>
    <row r="14" spans="1:9" x14ac:dyDescent="0.3">
      <c r="A14" t="s">
        <v>44</v>
      </c>
      <c r="B14" s="1">
        <v>266.70999999999998</v>
      </c>
      <c r="C14" s="2">
        <f t="shared" si="0"/>
        <v>4.6549637161111104</v>
      </c>
      <c r="D14" s="2">
        <f t="shared" si="1"/>
        <v>2.9663590911111104</v>
      </c>
      <c r="E14" s="3">
        <f t="shared" si="2"/>
        <v>0.17433812801383222</v>
      </c>
      <c r="F14" s="4">
        <f t="shared" si="3"/>
        <v>580.62731609663842</v>
      </c>
      <c r="H14" s="8">
        <f t="shared" si="4"/>
        <v>4.198056203110305E-3</v>
      </c>
      <c r="I14">
        <v>578.20000000000005</v>
      </c>
    </row>
    <row r="15" spans="1:9" x14ac:dyDescent="0.3">
      <c r="A15" t="s">
        <v>45</v>
      </c>
      <c r="B15" s="1"/>
      <c r="C15" s="2"/>
      <c r="D15" s="2">
        <f>344.72*3.14159/180</f>
        <v>6.0164939155555555</v>
      </c>
      <c r="E15" s="3">
        <f t="shared" si="2"/>
        <v>-0.26354124210796009</v>
      </c>
      <c r="F15" s="4">
        <f>3330.46662087923*E15/-2</f>
        <v>438.85765503280646</v>
      </c>
      <c r="G15" t="s">
        <v>103</v>
      </c>
      <c r="H15" s="8">
        <f t="shared" si="4"/>
        <v>7.0161886939110862E-3</v>
      </c>
      <c r="I15">
        <v>435.8</v>
      </c>
    </row>
    <row r="16" spans="1:9" x14ac:dyDescent="0.3">
      <c r="A16" t="s">
        <v>46</v>
      </c>
      <c r="B16" s="1">
        <v>248.5</v>
      </c>
      <c r="C16" s="2">
        <f t="shared" si="0"/>
        <v>4.3371395277777776</v>
      </c>
      <c r="D16" s="2">
        <f t="shared" si="1"/>
        <v>2.6485349027777776</v>
      </c>
      <c r="E16" s="3">
        <f t="shared" si="2"/>
        <v>0.47332163784513387</v>
      </c>
      <c r="F16" s="4">
        <f>3330.46662087923*E16/4</f>
        <v>394.09547894577645</v>
      </c>
      <c r="G16" t="s">
        <v>104</v>
      </c>
      <c r="H16" s="8">
        <f t="shared" si="4"/>
        <v>-2.6203412538234595E-2</v>
      </c>
      <c r="I16">
        <v>404.7</v>
      </c>
    </row>
    <row r="17" spans="1:9" x14ac:dyDescent="0.3">
      <c r="A17" t="s">
        <v>47</v>
      </c>
      <c r="B17" s="1">
        <v>257.5</v>
      </c>
      <c r="C17" s="2">
        <f t="shared" si="0"/>
        <v>4.4942190277777776</v>
      </c>
      <c r="D17" s="2">
        <f t="shared" si="1"/>
        <v>2.8056144027777776</v>
      </c>
      <c r="E17" s="3">
        <f t="shared" si="2"/>
        <v>0.3296928825669555</v>
      </c>
      <c r="F17" s="4">
        <f>3330.46662087923*E17/2</f>
        <v>549.01557026535056</v>
      </c>
      <c r="H17" s="8">
        <f t="shared" si="4"/>
        <v>5.338894461363374E-3</v>
      </c>
      <c r="I17">
        <v>546.1</v>
      </c>
    </row>
    <row r="18" spans="1:9" x14ac:dyDescent="0.3">
      <c r="A18" t="s">
        <v>48</v>
      </c>
      <c r="B18" s="1">
        <v>256.33</v>
      </c>
      <c r="C18" s="2">
        <f t="shared" si="0"/>
        <v>4.4737986927777769</v>
      </c>
      <c r="D18" s="2">
        <f t="shared" si="1"/>
        <v>2.7851940677777769</v>
      </c>
      <c r="E18" s="3">
        <f t="shared" si="2"/>
        <v>0.34890140393354646</v>
      </c>
      <c r="F18" s="4">
        <f>3330.46662087923*E18/2</f>
        <v>581.00223988928894</v>
      </c>
      <c r="H18" s="8">
        <f t="shared" si="4"/>
        <v>4.8464889126407793E-3</v>
      </c>
      <c r="I18">
        <v>578.20000000000005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3210B-8040-4A96-A073-D62DF951177A}">
  <dimension ref="A1:G17"/>
  <sheetViews>
    <sheetView tabSelected="1" workbookViewId="0">
      <selection activeCell="G12" sqref="G12:G14"/>
    </sheetView>
  </sheetViews>
  <sheetFormatPr defaultRowHeight="14" x14ac:dyDescent="0.3"/>
  <sheetData>
    <row r="1" spans="1:7" x14ac:dyDescent="0.3">
      <c r="A1" t="s">
        <v>25</v>
      </c>
      <c r="B1" t="s">
        <v>24</v>
      </c>
      <c r="C1" t="s">
        <v>26</v>
      </c>
      <c r="D1" t="s">
        <v>27</v>
      </c>
      <c r="E1" t="s">
        <v>106</v>
      </c>
      <c r="F1" t="s">
        <v>107</v>
      </c>
    </row>
    <row r="2" spans="1:7" x14ac:dyDescent="0.3">
      <c r="A2" t="s">
        <v>6</v>
      </c>
      <c r="B2" s="1">
        <v>96.75</v>
      </c>
      <c r="C2" s="2">
        <f>B2*3.14159/180</f>
        <v>1.688604625</v>
      </c>
      <c r="D2" s="2">
        <f>C2-1.688604625</f>
        <v>0</v>
      </c>
      <c r="E2" s="3">
        <f>COS(D2)</f>
        <v>1</v>
      </c>
      <c r="F2" s="7">
        <f>1/(3330.46662087923*E2)</f>
        <v>3.0025822619894746E-4</v>
      </c>
      <c r="G2" s="10">
        <f>F2*10^9</f>
        <v>300258.22619894746</v>
      </c>
    </row>
    <row r="3" spans="1:7" x14ac:dyDescent="0.3">
      <c r="A3" t="s">
        <v>33</v>
      </c>
      <c r="B3" s="1">
        <v>104.23</v>
      </c>
      <c r="C3" s="2">
        <f t="shared" ref="C3:C17" si="0">B3*3.14159/180</f>
        <v>1.8191551427777777</v>
      </c>
      <c r="D3" s="2">
        <f t="shared" ref="D3:D17" si="1">C3-1.688604625</f>
        <v>0.13055051777777771</v>
      </c>
      <c r="E3" s="3">
        <f t="shared" ref="E3:E17" si="2">COS(D3)</f>
        <v>0.9914903775620334</v>
      </c>
      <c r="F3" s="7">
        <f t="shared" ref="F3:F5" si="3">1/(3330.46662087923*E3)</f>
        <v>3.0283523975013218E-4</v>
      </c>
      <c r="G3" s="10">
        <f t="shared" ref="G3:G17" si="4">F3*10^9</f>
        <v>302835.2397501322</v>
      </c>
    </row>
    <row r="4" spans="1:7" x14ac:dyDescent="0.3">
      <c r="A4" t="s">
        <v>34</v>
      </c>
      <c r="B4" s="1">
        <v>106.15</v>
      </c>
      <c r="C4" s="2">
        <f t="shared" si="0"/>
        <v>1.8526654361111112</v>
      </c>
      <c r="D4" s="2">
        <f t="shared" si="1"/>
        <v>0.16406081111111126</v>
      </c>
      <c r="E4" s="3">
        <f t="shared" si="2"/>
        <v>0.98657218424007653</v>
      </c>
      <c r="F4" s="7">
        <f t="shared" si="3"/>
        <v>3.0434491362659518E-4</v>
      </c>
      <c r="G4" s="10">
        <f t="shared" si="4"/>
        <v>304344.91362659517</v>
      </c>
    </row>
    <row r="5" spans="1:7" x14ac:dyDescent="0.3">
      <c r="A5" t="s">
        <v>35</v>
      </c>
      <c r="B5" s="1">
        <v>106.72499999999999</v>
      </c>
      <c r="C5" s="2">
        <f t="shared" si="0"/>
        <v>1.8627010708333334</v>
      </c>
      <c r="D5" s="2">
        <f t="shared" si="1"/>
        <v>0.17409644583333339</v>
      </c>
      <c r="E5" s="3">
        <f t="shared" si="2"/>
        <v>0.98488345304636649</v>
      </c>
      <c r="F5" s="7">
        <f t="shared" si="3"/>
        <v>3.0486675887406937E-4</v>
      </c>
      <c r="G5" s="10">
        <f t="shared" si="4"/>
        <v>304866.75887406938</v>
      </c>
    </row>
    <row r="6" spans="1:7" x14ac:dyDescent="0.3">
      <c r="A6" t="s">
        <v>100</v>
      </c>
      <c r="B6" s="1">
        <v>111.91</v>
      </c>
      <c r="C6" s="2">
        <f t="shared" si="0"/>
        <v>1.953196316111111</v>
      </c>
      <c r="D6" s="2">
        <f t="shared" si="1"/>
        <v>0.26459169111111103</v>
      </c>
      <c r="E6" s="3">
        <f t="shared" si="2"/>
        <v>0.96519936031237541</v>
      </c>
      <c r="F6" s="7">
        <f>2/(3330.46662087923*E6)</f>
        <v>6.221683074919826E-4</v>
      </c>
      <c r="G6" s="10">
        <f t="shared" si="4"/>
        <v>622168.30749198259</v>
      </c>
    </row>
    <row r="7" spans="1:7" x14ac:dyDescent="0.3">
      <c r="A7" t="s">
        <v>37</v>
      </c>
      <c r="B7" s="1">
        <v>115.87</v>
      </c>
      <c r="C7" s="2">
        <f t="shared" si="0"/>
        <v>2.0223112961111109</v>
      </c>
      <c r="D7" s="2">
        <f t="shared" si="1"/>
        <v>0.33370667111111096</v>
      </c>
      <c r="E7" s="3">
        <f t="shared" si="2"/>
        <v>0.94483472632200605</v>
      </c>
      <c r="F7" s="7">
        <f>2/(3330.46662087923*E7)</f>
        <v>6.3557830345159732E-4</v>
      </c>
      <c r="G7" s="10">
        <f t="shared" si="4"/>
        <v>635578.30345159734</v>
      </c>
    </row>
    <row r="8" spans="1:7" x14ac:dyDescent="0.3">
      <c r="A8" t="s">
        <v>38</v>
      </c>
      <c r="B8" s="1">
        <v>116.97499999999999</v>
      </c>
      <c r="C8" s="2">
        <f t="shared" si="0"/>
        <v>2.0415971680555551</v>
      </c>
      <c r="D8" s="2">
        <f t="shared" si="1"/>
        <v>0.35299254305555516</v>
      </c>
      <c r="E8" s="3">
        <f t="shared" si="2"/>
        <v>0.9383423717408389</v>
      </c>
      <c r="F8" s="7">
        <f>2/(3330.46662087923*E8)</f>
        <v>6.3997584515319297E-4</v>
      </c>
      <c r="G8" s="10">
        <f t="shared" si="4"/>
        <v>639975.84515319299</v>
      </c>
    </row>
    <row r="9" spans="1:7" x14ac:dyDescent="0.3">
      <c r="A9" t="s">
        <v>101</v>
      </c>
      <c r="B9" s="1">
        <v>118.04</v>
      </c>
      <c r="C9" s="2">
        <f t="shared" si="0"/>
        <v>2.0601849088888891</v>
      </c>
      <c r="D9" s="2">
        <f t="shared" si="1"/>
        <v>0.37158028388888908</v>
      </c>
      <c r="E9" s="3">
        <f t="shared" si="2"/>
        <v>0.93175472665379699</v>
      </c>
      <c r="F9" s="7">
        <f>3/(3330.46662087923*E9)</f>
        <v>9.6675085495062305E-4</v>
      </c>
      <c r="G9" s="10">
        <f t="shared" si="4"/>
        <v>966750.854950623</v>
      </c>
    </row>
    <row r="10" spans="1:7" x14ac:dyDescent="0.3">
      <c r="A10" t="s">
        <v>105</v>
      </c>
      <c r="B10" s="1">
        <v>119.79</v>
      </c>
      <c r="C10" s="2">
        <f t="shared" si="0"/>
        <v>2.0907281449999999</v>
      </c>
      <c r="D10" s="2">
        <f t="shared" si="1"/>
        <v>0.40212351999999996</v>
      </c>
      <c r="E10" s="3">
        <f t="shared" si="2"/>
        <v>0.92023198029959874</v>
      </c>
      <c r="F10" s="7">
        <f>3/(3330.46662087923*E10)</f>
        <v>9.788560905083718E-4</v>
      </c>
      <c r="G10" s="10">
        <f t="shared" si="4"/>
        <v>978856.09050837182</v>
      </c>
    </row>
    <row r="11" spans="1:7" x14ac:dyDescent="0.3">
      <c r="A11" t="s">
        <v>102</v>
      </c>
      <c r="B11" s="1">
        <v>269.74</v>
      </c>
      <c r="C11" s="2">
        <f t="shared" si="0"/>
        <v>4.7078471477777777</v>
      </c>
      <c r="D11" s="2">
        <f t="shared" si="1"/>
        <v>3.0192425227777777</v>
      </c>
      <c r="E11" s="3">
        <f t="shared" si="2"/>
        <v>-0.9925245550691304</v>
      </c>
      <c r="F11" s="7">
        <f>-1/(3330.46662087923*E11)</f>
        <v>3.0251969552333555E-4</v>
      </c>
      <c r="G11" s="10">
        <f t="shared" si="4"/>
        <v>302519.69552333554</v>
      </c>
    </row>
    <row r="12" spans="1:7" x14ac:dyDescent="0.3">
      <c r="A12" t="s">
        <v>42</v>
      </c>
      <c r="B12" s="1">
        <v>269.19</v>
      </c>
      <c r="C12" s="2">
        <f t="shared" si="0"/>
        <v>4.698247845</v>
      </c>
      <c r="D12" s="2">
        <f t="shared" si="1"/>
        <v>3.0096432200000001</v>
      </c>
      <c r="E12" s="3">
        <f t="shared" si="2"/>
        <v>-0.99130729661141226</v>
      </c>
      <c r="F12" s="7">
        <f t="shared" ref="F12:F14" si="5">-1/(3330.46662087923*E12)</f>
        <v>3.0289116929263081E-4</v>
      </c>
      <c r="G12" s="10">
        <f t="shared" si="4"/>
        <v>302891.1692926308</v>
      </c>
    </row>
    <row r="13" spans="1:7" x14ac:dyDescent="0.3">
      <c r="A13" t="s">
        <v>43</v>
      </c>
      <c r="B13" s="1">
        <v>267.22500000000002</v>
      </c>
      <c r="C13" s="2">
        <f t="shared" si="0"/>
        <v>4.6639521541666671</v>
      </c>
      <c r="D13" s="2">
        <f t="shared" si="1"/>
        <v>2.9753475291666671</v>
      </c>
      <c r="E13" s="3">
        <f t="shared" si="2"/>
        <v>-0.98621307617105303</v>
      </c>
      <c r="F13" s="7">
        <f t="shared" si="5"/>
        <v>3.0445573421586771E-4</v>
      </c>
      <c r="G13" s="10">
        <f t="shared" si="4"/>
        <v>304455.73421586771</v>
      </c>
    </row>
    <row r="14" spans="1:7" x14ac:dyDescent="0.3">
      <c r="A14" t="s">
        <v>44</v>
      </c>
      <c r="B14" s="1">
        <v>266.70999999999998</v>
      </c>
      <c r="C14" s="2">
        <f t="shared" si="0"/>
        <v>4.6549637161111104</v>
      </c>
      <c r="D14" s="2">
        <f t="shared" si="1"/>
        <v>2.9663590911111104</v>
      </c>
      <c r="E14" s="3">
        <f t="shared" si="2"/>
        <v>-0.98468584691800698</v>
      </c>
      <c r="F14" s="7">
        <f t="shared" si="5"/>
        <v>3.0492793934099206E-4</v>
      </c>
      <c r="G14" s="10">
        <f t="shared" si="4"/>
        <v>304927.93934099207</v>
      </c>
    </row>
    <row r="15" spans="1:7" x14ac:dyDescent="0.3">
      <c r="A15" t="s">
        <v>104</v>
      </c>
      <c r="B15" s="1">
        <v>248.5</v>
      </c>
      <c r="C15" s="2">
        <f t="shared" si="0"/>
        <v>4.3371395277777776</v>
      </c>
      <c r="D15" s="2">
        <f t="shared" si="1"/>
        <v>2.6485349027777776</v>
      </c>
      <c r="E15" s="3">
        <f t="shared" si="2"/>
        <v>-0.88088967932857509</v>
      </c>
      <c r="F15" s="7">
        <f>-4/(3330.46662087923*E15)</f>
        <v>1.3634316906871152E-3</v>
      </c>
      <c r="G15" s="10">
        <f t="shared" si="4"/>
        <v>1363431.6906871151</v>
      </c>
    </row>
    <row r="16" spans="1:7" x14ac:dyDescent="0.3">
      <c r="A16" t="s">
        <v>47</v>
      </c>
      <c r="B16" s="1">
        <v>257.5</v>
      </c>
      <c r="C16" s="2">
        <f t="shared" si="0"/>
        <v>4.4942190277777776</v>
      </c>
      <c r="D16" s="2">
        <f t="shared" si="1"/>
        <v>2.8056144027777776</v>
      </c>
      <c r="E16" s="3">
        <f t="shared" si="2"/>
        <v>-0.94408823908821771</v>
      </c>
      <c r="F16" s="7">
        <f>-2/(3330.46662087923*E16)</f>
        <v>6.3608085296969934E-4</v>
      </c>
      <c r="G16" s="10">
        <f t="shared" si="4"/>
        <v>636080.85296969931</v>
      </c>
    </row>
    <row r="17" spans="1:7" x14ac:dyDescent="0.3">
      <c r="A17" t="s">
        <v>48</v>
      </c>
      <c r="B17" s="1">
        <v>256.33</v>
      </c>
      <c r="C17" s="2">
        <f t="shared" si="0"/>
        <v>4.4737986927777769</v>
      </c>
      <c r="D17" s="2">
        <f t="shared" si="1"/>
        <v>2.7851940677777769</v>
      </c>
      <c r="E17" s="3">
        <f t="shared" si="2"/>
        <v>-0.93715943698668491</v>
      </c>
      <c r="F17" s="7">
        <f>-2/(3330.46662087923*E17)</f>
        <v>6.4078365825219453E-4</v>
      </c>
      <c r="G17" s="10">
        <f t="shared" si="4"/>
        <v>640783.65825219452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E7118-EB3C-4AD2-A5D8-448C2AE04915}">
  <dimension ref="A11:H28"/>
  <sheetViews>
    <sheetView workbookViewId="0">
      <selection activeCell="G24" sqref="G24"/>
    </sheetView>
  </sheetViews>
  <sheetFormatPr defaultRowHeight="14" x14ac:dyDescent="0.3"/>
  <cols>
    <col min="8" max="8" width="17.58203125" bestFit="1" customWidth="1"/>
  </cols>
  <sheetData>
    <row r="11" spans="1:4" x14ac:dyDescent="0.3">
      <c r="A11" t="s">
        <v>25</v>
      </c>
      <c r="B11" t="s">
        <v>111</v>
      </c>
      <c r="C11" t="s">
        <v>112</v>
      </c>
      <c r="D11" t="s">
        <v>109</v>
      </c>
    </row>
    <row r="12" spans="1:4" x14ac:dyDescent="0.3">
      <c r="A12" t="s">
        <v>6</v>
      </c>
      <c r="B12" s="4">
        <v>0</v>
      </c>
    </row>
    <row r="13" spans="1:4" x14ac:dyDescent="0.3">
      <c r="A13" t="s">
        <v>33</v>
      </c>
      <c r="B13" s="4">
        <v>433.56012938018659</v>
      </c>
      <c r="C13">
        <v>435.8</v>
      </c>
      <c r="D13" s="9">
        <v>-5.1396755847026533E-3</v>
      </c>
    </row>
    <row r="14" spans="1:4" x14ac:dyDescent="0.3">
      <c r="A14" t="s">
        <v>34</v>
      </c>
      <c r="B14" s="4">
        <v>543.9512102420407</v>
      </c>
      <c r="C14">
        <v>546.1</v>
      </c>
      <c r="D14" s="9">
        <v>-3.9347917193908091E-3</v>
      </c>
    </row>
    <row r="15" spans="1:4" x14ac:dyDescent="0.3">
      <c r="A15" t="s">
        <v>35</v>
      </c>
      <c r="B15" s="4">
        <v>576.89780915716597</v>
      </c>
      <c r="C15">
        <v>578.20000000000005</v>
      </c>
      <c r="D15" s="9">
        <v>-2.2521460443342776E-3</v>
      </c>
    </row>
    <row r="16" spans="1:4" x14ac:dyDescent="0.3">
      <c r="A16" t="s">
        <v>100</v>
      </c>
      <c r="B16" s="4">
        <v>435.48380637577435</v>
      </c>
      <c r="C16">
        <v>435.8</v>
      </c>
      <c r="D16" s="9">
        <v>-7.2554755444162813E-4</v>
      </c>
    </row>
    <row r="17" spans="1:8" x14ac:dyDescent="0.3">
      <c r="A17" t="s">
        <v>37</v>
      </c>
      <c r="B17" s="4">
        <v>545.44294465888026</v>
      </c>
      <c r="C17">
        <v>546.1</v>
      </c>
      <c r="D17" s="9">
        <v>-1.2031776984430653E-3</v>
      </c>
    </row>
    <row r="18" spans="1:8" x14ac:dyDescent="0.3">
      <c r="A18" t="s">
        <v>38</v>
      </c>
      <c r="B18" s="4">
        <v>575.6834467899904</v>
      </c>
      <c r="C18">
        <v>578.20000000000005</v>
      </c>
      <c r="D18" s="9">
        <v>-4.3523922691277184E-3</v>
      </c>
    </row>
    <row r="19" spans="1:8" x14ac:dyDescent="0.3">
      <c r="A19" t="s">
        <v>101</v>
      </c>
      <c r="B19" s="4">
        <v>403.08451195614538</v>
      </c>
      <c r="C19">
        <v>404.7</v>
      </c>
      <c r="D19" s="9">
        <v>-3.9918162684818674E-3</v>
      </c>
      <c r="G19" s="4">
        <f>(B19+B21)/2</f>
        <v>404.77582972509947</v>
      </c>
      <c r="H19" s="8">
        <f>(G19-C21)/C21</f>
        <v>1.8737268371505188E-4</v>
      </c>
    </row>
    <row r="20" spans="1:8" x14ac:dyDescent="0.3">
      <c r="A20" t="s">
        <v>105</v>
      </c>
      <c r="B20" s="4">
        <v>434.48529756780908</v>
      </c>
      <c r="C20">
        <v>435.8</v>
      </c>
      <c r="D20" s="9">
        <v>-3.0167563841003373E-3</v>
      </c>
    </row>
    <row r="21" spans="1:8" x14ac:dyDescent="0.3">
      <c r="A21" t="s">
        <v>102</v>
      </c>
      <c r="B21" s="4">
        <v>406.46714749405351</v>
      </c>
      <c r="C21">
        <v>404.7</v>
      </c>
      <c r="D21" s="9">
        <v>4.3665616359118307E-3</v>
      </c>
    </row>
    <row r="22" spans="1:8" x14ac:dyDescent="0.3">
      <c r="A22" t="s">
        <v>42</v>
      </c>
      <c r="B22" s="4">
        <v>438.17909936793666</v>
      </c>
      <c r="C22">
        <v>435.8</v>
      </c>
      <c r="D22" s="9">
        <v>5.4591541256003824E-3</v>
      </c>
    </row>
    <row r="23" spans="1:8" x14ac:dyDescent="0.3">
      <c r="A23" t="s">
        <v>43</v>
      </c>
      <c r="B23" s="4">
        <v>551.12700501368431</v>
      </c>
      <c r="C23">
        <v>546.1</v>
      </c>
      <c r="D23" s="9">
        <v>9.2052829402752018E-3</v>
      </c>
    </row>
    <row r="24" spans="1:8" x14ac:dyDescent="0.3">
      <c r="A24" t="s">
        <v>44</v>
      </c>
      <c r="B24" s="4">
        <v>580.62731609663842</v>
      </c>
      <c r="C24">
        <v>578.20000000000005</v>
      </c>
      <c r="D24" s="9">
        <v>4.198056203110305E-3</v>
      </c>
      <c r="G24" s="4">
        <f>AVERAGE(B15,B18,B24,B28)</f>
        <v>578.55270298327093</v>
      </c>
      <c r="H24" s="8">
        <f>(G24-C18)/C18</f>
        <v>6.1000170057227195E-4</v>
      </c>
    </row>
    <row r="25" spans="1:8" x14ac:dyDescent="0.3">
      <c r="A25" t="s">
        <v>103</v>
      </c>
      <c r="B25" s="4">
        <v>438.85765503280646</v>
      </c>
      <c r="C25">
        <v>435.8</v>
      </c>
      <c r="D25" s="9">
        <v>7.0161886939110862E-3</v>
      </c>
    </row>
    <row r="26" spans="1:8" x14ac:dyDescent="0.3">
      <c r="A26" t="s">
        <v>104</v>
      </c>
      <c r="B26" s="4">
        <v>394.09547894577645</v>
      </c>
      <c r="C26">
        <v>404.7</v>
      </c>
      <c r="D26" s="9">
        <v>-2.6203412538234595E-2</v>
      </c>
    </row>
    <row r="27" spans="1:8" x14ac:dyDescent="0.3">
      <c r="A27" t="s">
        <v>47</v>
      </c>
      <c r="B27" s="4">
        <v>549.01557026535056</v>
      </c>
      <c r="C27">
        <v>546.1</v>
      </c>
      <c r="D27" s="9">
        <v>5.338894461363374E-3</v>
      </c>
    </row>
    <row r="28" spans="1:8" x14ac:dyDescent="0.3">
      <c r="A28" t="s">
        <v>48</v>
      </c>
      <c r="B28" s="4">
        <v>581.00223988928894</v>
      </c>
      <c r="C28">
        <v>578.20000000000005</v>
      </c>
      <c r="D28" s="9">
        <v>4.8464889126407793E-3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测量光栅常数</vt:lpstr>
      <vt:lpstr>测量未知波长</vt:lpstr>
      <vt:lpstr>计算表1</vt:lpstr>
      <vt:lpstr>计算表2</vt:lpstr>
      <vt:lpstr>计算表3</vt:lpstr>
      <vt:lpstr>展示表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yangshuyun</dc:creator>
  <cp:lastModifiedBy>舒云 杨</cp:lastModifiedBy>
  <dcterms:created xsi:type="dcterms:W3CDTF">2015-06-05T18:19:34Z</dcterms:created>
  <dcterms:modified xsi:type="dcterms:W3CDTF">2023-10-15T03:21:30Z</dcterms:modified>
</cp:coreProperties>
</file>