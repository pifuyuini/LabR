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Users\yangshuyun\Desktop\"/>
    </mc:Choice>
  </mc:AlternateContent>
  <xr:revisionPtr revIDLastSave="0" documentId="13_ncr:1_{1A1B921F-BF7A-4402-89D1-9483219A9E78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Sheet1" sheetId="1" r:id="rId1"/>
    <sheet name="Sheet3" sheetId="3" r:id="rId2"/>
    <sheet name="展示表" sheetId="2" r:id="rId3"/>
    <sheet name="Sheet4" sheetId="5" r:id="rId4"/>
    <sheet name="Sheet5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5" i="5" l="1"/>
  <c r="F20" i="5"/>
  <c r="F23" i="5"/>
  <c r="F35" i="5"/>
  <c r="F40" i="5"/>
  <c r="F43" i="5"/>
  <c r="F55" i="5"/>
  <c r="F60" i="5"/>
  <c r="F2" i="5"/>
  <c r="E3" i="5"/>
  <c r="F3" i="5" s="1"/>
  <c r="E4" i="5"/>
  <c r="F4" i="5" s="1"/>
  <c r="E5" i="5"/>
  <c r="F5" i="5" s="1"/>
  <c r="E6" i="5"/>
  <c r="F6" i="5" s="1"/>
  <c r="E7" i="5"/>
  <c r="F7" i="5" s="1"/>
  <c r="E8" i="5"/>
  <c r="F8" i="5" s="1"/>
  <c r="E9" i="5"/>
  <c r="F9" i="5" s="1"/>
  <c r="E10" i="5"/>
  <c r="F10" i="5" s="1"/>
  <c r="E11" i="5"/>
  <c r="F11" i="5" s="1"/>
  <c r="E12" i="5"/>
  <c r="F12" i="5" s="1"/>
  <c r="E13" i="5"/>
  <c r="F13" i="5" s="1"/>
  <c r="E14" i="5"/>
  <c r="F14" i="5" s="1"/>
  <c r="E15" i="5"/>
  <c r="E16" i="5"/>
  <c r="F16" i="5" s="1"/>
  <c r="E17" i="5"/>
  <c r="F17" i="5" s="1"/>
  <c r="E18" i="5"/>
  <c r="F18" i="5" s="1"/>
  <c r="E19" i="5"/>
  <c r="F19" i="5" s="1"/>
  <c r="E20" i="5"/>
  <c r="E21" i="5"/>
  <c r="F21" i="5" s="1"/>
  <c r="E22" i="5"/>
  <c r="F22" i="5" s="1"/>
  <c r="E23" i="5"/>
  <c r="E24" i="5"/>
  <c r="F24" i="5" s="1"/>
  <c r="E25" i="5"/>
  <c r="F25" i="5" s="1"/>
  <c r="E26" i="5"/>
  <c r="F26" i="5" s="1"/>
  <c r="E27" i="5"/>
  <c r="F27" i="5" s="1"/>
  <c r="E28" i="5"/>
  <c r="F28" i="5" s="1"/>
  <c r="E29" i="5"/>
  <c r="F29" i="5" s="1"/>
  <c r="E30" i="5"/>
  <c r="F30" i="5" s="1"/>
  <c r="E31" i="5"/>
  <c r="F31" i="5" s="1"/>
  <c r="E32" i="5"/>
  <c r="F32" i="5" s="1"/>
  <c r="E33" i="5"/>
  <c r="F33" i="5" s="1"/>
  <c r="E34" i="5"/>
  <c r="F34" i="5" s="1"/>
  <c r="E35" i="5"/>
  <c r="E36" i="5"/>
  <c r="F36" i="5" s="1"/>
  <c r="E37" i="5"/>
  <c r="F37" i="5" s="1"/>
  <c r="E38" i="5"/>
  <c r="F38" i="5" s="1"/>
  <c r="E39" i="5"/>
  <c r="F39" i="5" s="1"/>
  <c r="E40" i="5"/>
  <c r="E41" i="5"/>
  <c r="F41" i="5" s="1"/>
  <c r="E42" i="5"/>
  <c r="F42" i="5" s="1"/>
  <c r="E43" i="5"/>
  <c r="E44" i="5"/>
  <c r="F44" i="5" s="1"/>
  <c r="E45" i="5"/>
  <c r="F45" i="5" s="1"/>
  <c r="E46" i="5"/>
  <c r="F46" i="5" s="1"/>
  <c r="E47" i="5"/>
  <c r="F47" i="5" s="1"/>
  <c r="E48" i="5"/>
  <c r="F48" i="5" s="1"/>
  <c r="E49" i="5"/>
  <c r="F49" i="5" s="1"/>
  <c r="E50" i="5"/>
  <c r="F50" i="5" s="1"/>
  <c r="E51" i="5"/>
  <c r="F51" i="5" s="1"/>
  <c r="E52" i="5"/>
  <c r="F52" i="5" s="1"/>
  <c r="E53" i="5"/>
  <c r="F53" i="5" s="1"/>
  <c r="E54" i="5"/>
  <c r="F54" i="5" s="1"/>
  <c r="E55" i="5"/>
  <c r="E56" i="5"/>
  <c r="F56" i="5" s="1"/>
  <c r="E57" i="5"/>
  <c r="F57" i="5" s="1"/>
  <c r="E58" i="5"/>
  <c r="F58" i="5" s="1"/>
  <c r="E59" i="5"/>
  <c r="F59" i="5" s="1"/>
  <c r="E60" i="5"/>
  <c r="E61" i="5"/>
  <c r="F61" i="5" s="1"/>
  <c r="E62" i="5"/>
  <c r="F62" i="5" s="1"/>
  <c r="E2" i="5"/>
  <c r="L1" i="5"/>
  <c r="E4" i="6"/>
  <c r="E5" i="6"/>
  <c r="E6" i="6"/>
  <c r="E7" i="6"/>
  <c r="E8" i="6"/>
  <c r="E9" i="6"/>
  <c r="E10" i="6"/>
  <c r="E11" i="6"/>
  <c r="E12" i="6" s="1"/>
  <c r="E13" i="6" s="1"/>
  <c r="E14" i="6" s="1"/>
  <c r="E15" i="6" s="1"/>
  <c r="E16" i="6" s="1"/>
  <c r="E17" i="6" s="1"/>
  <c r="E18" i="6" s="1"/>
  <c r="E19" i="6" s="1"/>
  <c r="E20" i="6" s="1"/>
  <c r="E21" i="6" s="1"/>
  <c r="E22" i="6" s="1"/>
  <c r="E23" i="6" s="1"/>
  <c r="E24" i="6" s="1"/>
  <c r="E25" i="6" s="1"/>
  <c r="E26" i="6" s="1"/>
  <c r="E27" i="6" s="1"/>
  <c r="E28" i="6" s="1"/>
  <c r="E29" i="6" s="1"/>
  <c r="E30" i="6" s="1"/>
  <c r="E31" i="6" s="1"/>
  <c r="E3" i="6"/>
  <c r="A4" i="6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" i="6"/>
  <c r="A4" i="5"/>
  <c r="A5" i="5"/>
  <c r="A6" i="5"/>
  <c r="A7" i="5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3" i="5"/>
  <c r="U4" i="2"/>
  <c r="U5" i="2"/>
  <c r="U6" i="2" s="1"/>
  <c r="U7" i="2" s="1"/>
  <c r="U8" i="2" s="1"/>
  <c r="U9" i="2" s="1"/>
  <c r="U10" i="2" s="1"/>
  <c r="U11" i="2" s="1"/>
  <c r="U12" i="2" s="1"/>
  <c r="U13" i="2" s="1"/>
  <c r="U14" i="2" s="1"/>
  <c r="U15" i="2" s="1"/>
  <c r="U16" i="2" s="1"/>
  <c r="U17" i="2" s="1"/>
  <c r="U18" i="2" s="1"/>
  <c r="U19" i="2" s="1"/>
  <c r="U20" i="2" s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U38" i="2" s="1"/>
  <c r="U39" i="2" s="1"/>
  <c r="U40" i="2" s="1"/>
  <c r="U41" i="2" s="1"/>
  <c r="U42" i="2" s="1"/>
  <c r="U43" i="2" s="1"/>
  <c r="U44" i="2" s="1"/>
  <c r="U45" i="2" s="1"/>
  <c r="U46" i="2" s="1"/>
  <c r="U47" i="2" s="1"/>
  <c r="U48" i="2" s="1"/>
  <c r="U49" i="2" s="1"/>
  <c r="U50" i="2" s="1"/>
  <c r="U51" i="2" s="1"/>
  <c r="U52" i="2" s="1"/>
  <c r="U53" i="2" s="1"/>
  <c r="U54" i="2" s="1"/>
  <c r="U55" i="2" s="1"/>
  <c r="U56" i="2" s="1"/>
  <c r="U57" i="2" s="1"/>
  <c r="U58" i="2" s="1"/>
  <c r="U59" i="2" s="1"/>
  <c r="U60" i="2" s="1"/>
  <c r="U61" i="2" s="1"/>
  <c r="U62" i="2" s="1"/>
  <c r="U63" i="2" s="1"/>
  <c r="U64" i="2" s="1"/>
  <c r="U65" i="2" s="1"/>
  <c r="U3" i="2"/>
  <c r="U2" i="2"/>
  <c r="Q4" i="2"/>
  <c r="Q5" i="2"/>
  <c r="Q6" i="2"/>
  <c r="Q7" i="2"/>
  <c r="Q8" i="2"/>
  <c r="Q9" i="2"/>
  <c r="Q10" i="2"/>
  <c r="Q11" i="2"/>
  <c r="Q12" i="2" s="1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Q23" i="2" s="1"/>
  <c r="Q24" i="2" s="1"/>
  <c r="Q25" i="2" s="1"/>
  <c r="Q26" i="2" s="1"/>
  <c r="Q27" i="2" s="1"/>
  <c r="Q28" i="2" s="1"/>
  <c r="Q29" i="2" s="1"/>
  <c r="Q30" i="2" s="1"/>
  <c r="Q31" i="2" s="1"/>
  <c r="Q32" i="2" s="1"/>
  <c r="Q33" i="2" s="1"/>
  <c r="Q34" i="2" s="1"/>
  <c r="Q35" i="2" s="1"/>
  <c r="Q36" i="2" s="1"/>
  <c r="Q37" i="2" s="1"/>
  <c r="Q38" i="2" s="1"/>
  <c r="Q39" i="2" s="1"/>
  <c r="Q40" i="2" s="1"/>
  <c r="Q41" i="2" s="1"/>
  <c r="Q42" i="2" s="1"/>
  <c r="Q43" i="2" s="1"/>
  <c r="Q44" i="2" s="1"/>
  <c r="Q45" i="2" s="1"/>
  <c r="Q46" i="2" s="1"/>
  <c r="Q47" i="2" s="1"/>
  <c r="Q48" i="2" s="1"/>
  <c r="Q49" i="2" s="1"/>
  <c r="Q50" i="2" s="1"/>
  <c r="Q51" i="2" s="1"/>
  <c r="Q52" i="2" s="1"/>
  <c r="Q53" i="2" s="1"/>
  <c r="Q54" i="2" s="1"/>
  <c r="Q55" i="2" s="1"/>
  <c r="Q56" i="2" s="1"/>
  <c r="Q57" i="2" s="1"/>
  <c r="Q58" i="2" s="1"/>
  <c r="Q59" i="2" s="1"/>
  <c r="Q60" i="2" s="1"/>
  <c r="Q61" i="2" s="1"/>
  <c r="Q62" i="2" s="1"/>
  <c r="Q63" i="2" s="1"/>
  <c r="Q64" i="2" s="1"/>
  <c r="Q65" i="2" s="1"/>
  <c r="Q3" i="2"/>
  <c r="M4" i="2"/>
  <c r="M5" i="2"/>
  <c r="M6" i="2"/>
  <c r="M7" i="2"/>
  <c r="M8" i="2"/>
  <c r="M9" i="2"/>
  <c r="M10" i="2"/>
  <c r="M11" i="2" s="1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M35" i="2" s="1"/>
  <c r="M36" i="2" s="1"/>
  <c r="M37" i="2" s="1"/>
  <c r="M38" i="2" s="1"/>
  <c r="M39" i="2" s="1"/>
  <c r="M40" i="2" s="1"/>
  <c r="M41" i="2" s="1"/>
  <c r="M42" i="2" s="1"/>
  <c r="M43" i="2" s="1"/>
  <c r="M44" i="2" s="1"/>
  <c r="M45" i="2" s="1"/>
  <c r="M46" i="2" s="1"/>
  <c r="M47" i="2" s="1"/>
  <c r="M48" i="2" s="1"/>
  <c r="M49" i="2" s="1"/>
  <c r="M50" i="2" s="1"/>
  <c r="M51" i="2" s="1"/>
  <c r="M52" i="2" s="1"/>
  <c r="M53" i="2" s="1"/>
  <c r="M54" i="2" s="1"/>
  <c r="M55" i="2" s="1"/>
  <c r="M56" i="2" s="1"/>
  <c r="M57" i="2" s="1"/>
  <c r="M58" i="2" s="1"/>
  <c r="M59" i="2" s="1"/>
  <c r="M60" i="2" s="1"/>
  <c r="M61" i="2" s="1"/>
  <c r="M62" i="2" s="1"/>
  <c r="M63" i="2" s="1"/>
  <c r="M64" i="2" s="1"/>
  <c r="M65" i="2" s="1"/>
  <c r="M3" i="2"/>
  <c r="I4" i="2"/>
  <c r="I5" i="2"/>
  <c r="I6" i="2"/>
  <c r="I7" i="2"/>
  <c r="I8" i="2"/>
  <c r="I9" i="2"/>
  <c r="I10" i="2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I41" i="2" s="1"/>
  <c r="I42" i="2" s="1"/>
  <c r="I43" i="2" s="1"/>
  <c r="I44" i="2" s="1"/>
  <c r="I45" i="2" s="1"/>
  <c r="I46" i="2" s="1"/>
  <c r="I47" i="2" s="1"/>
  <c r="I48" i="2" s="1"/>
  <c r="I49" i="2" s="1"/>
  <c r="I50" i="2" s="1"/>
  <c r="I51" i="2" s="1"/>
  <c r="I52" i="2" s="1"/>
  <c r="I53" i="2" s="1"/>
  <c r="I54" i="2" s="1"/>
  <c r="I55" i="2" s="1"/>
  <c r="I56" i="2" s="1"/>
  <c r="I57" i="2" s="1"/>
  <c r="I58" i="2" s="1"/>
  <c r="I59" i="2" s="1"/>
  <c r="I60" i="2" s="1"/>
  <c r="I61" i="2" s="1"/>
  <c r="I62" i="2" s="1"/>
  <c r="I63" i="2" s="1"/>
  <c r="I64" i="2" s="1"/>
  <c r="I65" i="2" s="1"/>
  <c r="I3" i="2"/>
  <c r="E4" i="2"/>
  <c r="E5" i="2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3" i="2"/>
  <c r="A4" i="2"/>
  <c r="A5" i="2"/>
  <c r="A6" i="2"/>
  <c r="A7" i="2"/>
  <c r="A8" i="2"/>
  <c r="A9" i="2"/>
  <c r="A10" i="2"/>
  <c r="A11" i="2"/>
  <c r="A12" i="2"/>
  <c r="A13" i="2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3" i="2"/>
  <c r="N1" i="5" l="1"/>
  <c r="N3" i="5" l="1"/>
  <c r="N2" i="5"/>
</calcChain>
</file>

<file path=xl/sharedStrings.xml><?xml version="1.0" encoding="utf-8"?>
<sst xmlns="http://schemas.openxmlformats.org/spreadsheetml/2006/main" count="46" uniqueCount="15">
  <si>
    <t>油滴带电量/10E-19C</t>
    <phoneticPr fontId="2" type="noConversion"/>
  </si>
  <si>
    <t>电子个数</t>
  </si>
  <si>
    <t>元电荷量/10E-19C</t>
    <phoneticPr fontId="2" type="noConversion"/>
  </si>
  <si>
    <t>测量编号</t>
    <phoneticPr fontId="2" type="noConversion"/>
  </si>
  <si>
    <t>平衡电压</t>
    <phoneticPr fontId="2" type="noConversion"/>
  </si>
  <si>
    <t>下落时间</t>
    <phoneticPr fontId="2" type="noConversion"/>
  </si>
  <si>
    <t>油滴带电量</t>
  </si>
  <si>
    <t>元电荷量</t>
  </si>
  <si>
    <t>均值</t>
    <phoneticPr fontId="2" type="noConversion"/>
  </si>
  <si>
    <t>误差（参考值e=1.6021766208）</t>
    <phoneticPr fontId="2" type="noConversion"/>
  </si>
  <si>
    <t>油滴带电量/$10^{-19}C$</t>
    <phoneticPr fontId="2" type="noConversion"/>
  </si>
  <si>
    <t>元电荷量/$10^{-19}C$</t>
    <phoneticPr fontId="2" type="noConversion"/>
  </si>
  <si>
    <t>标准差</t>
    <phoneticPr fontId="2" type="noConversion"/>
  </si>
  <si>
    <t>实验标准差</t>
    <phoneticPr fontId="2" type="noConversion"/>
  </si>
  <si>
    <t>相对误差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</si>
</sst>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4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</cellStyleXfs>
  <cellXfs count="10">
    <xf numFmtId="0" fontId="0" fillId="0" borderId="0" xfId="0"/>
    <xf numFmtId="0" fontId="1" fillId="0" borderId="0" xfId="1">
      <alignment vertical="center"/>
    </xf>
    <xf numFmtId="176" fontId="1" fillId="0" borderId="0" xfId="1" applyNumberFormat="1">
      <alignment vertical="center"/>
    </xf>
    <xf numFmtId="1" fontId="1" fillId="0" borderId="0" xfId="1" applyNumberFormat="1">
      <alignment vertical="center"/>
    </xf>
    <xf numFmtId="1" fontId="0" fillId="0" borderId="0" xfId="0" applyNumberFormat="1"/>
    <xf numFmtId="0" fontId="1" fillId="0" borderId="0" xfId="1">
      <alignment vertical="center"/>
    </xf>
    <xf numFmtId="0" fontId="1" fillId="2" borderId="0" xfId="1" applyFill="1">
      <alignment vertical="center"/>
    </xf>
    <xf numFmtId="0" fontId="1" fillId="0" borderId="0" xfId="1" applyFill="1">
      <alignment vertical="center"/>
    </xf>
    <xf numFmtId="176" fontId="1" fillId="0" borderId="0" xfId="1" applyNumberFormat="1" applyFill="1">
      <alignment vertical="center"/>
    </xf>
    <xf numFmtId="10" fontId="0" fillId="0" borderId="0" xfId="2" applyNumberFormat="1" applyFont="1" applyAlignment="1"/>
  </cellXfs>
  <cellStyles count="3">
    <cellStyle name="百分比" xfId="2" builtinId="5"/>
    <cellStyle name="常规" xfId="0" builtinId="0"/>
    <cellStyle name="常规 2" xfId="1" xr:uid="{967221D9-8E26-4B30-A312-7441A8082F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5"/>
  <sheetViews>
    <sheetView workbookViewId="0">
      <selection sqref="A1:C385"/>
    </sheetView>
  </sheetViews>
  <sheetFormatPr defaultRowHeight="14" x14ac:dyDescent="0.3"/>
  <sheetData>
    <row r="1" spans="1:3" x14ac:dyDescent="0.3">
      <c r="A1" s="5" t="s">
        <v>6</v>
      </c>
      <c r="B1" s="5" t="s">
        <v>1</v>
      </c>
      <c r="C1" s="5" t="s">
        <v>7</v>
      </c>
    </row>
    <row r="2" spans="1:3" x14ac:dyDescent="0.3">
      <c r="A2" s="5">
        <v>11.106999999999999</v>
      </c>
      <c r="B2" s="5">
        <v>7</v>
      </c>
      <c r="C2" s="6">
        <v>1.5867142857142855</v>
      </c>
    </row>
    <row r="3" spans="1:3" x14ac:dyDescent="0.3">
      <c r="A3" s="5">
        <v>1.5049999999999999</v>
      </c>
      <c r="B3" s="5">
        <v>1</v>
      </c>
      <c r="C3" s="5">
        <v>1.5049999999999999</v>
      </c>
    </row>
    <row r="4" spans="1:3" x14ac:dyDescent="0.3">
      <c r="A4" s="5">
        <v>15.614000000000001</v>
      </c>
      <c r="B4" s="5">
        <v>10</v>
      </c>
      <c r="C4" s="5">
        <v>1.5614000000000001</v>
      </c>
    </row>
    <row r="5" spans="1:3" x14ac:dyDescent="0.3">
      <c r="A5" s="5">
        <v>3.0190000000000001</v>
      </c>
      <c r="B5" s="5">
        <v>2</v>
      </c>
      <c r="C5" s="5">
        <v>1.5095000000000001</v>
      </c>
    </row>
    <row r="6" spans="1:3" x14ac:dyDescent="0.3">
      <c r="A6" s="5">
        <v>3.0750000000000002</v>
      </c>
      <c r="B6" s="5">
        <v>2</v>
      </c>
      <c r="C6" s="5">
        <v>1.5375000000000001</v>
      </c>
    </row>
    <row r="7" spans="1:3" x14ac:dyDescent="0.3">
      <c r="A7" s="5">
        <v>34.912999999999997</v>
      </c>
      <c r="B7" s="5">
        <v>22</v>
      </c>
      <c r="C7" s="6">
        <v>1.5869545454545453</v>
      </c>
    </row>
    <row r="8" spans="1:3" x14ac:dyDescent="0.3">
      <c r="A8" s="5">
        <v>3.54</v>
      </c>
      <c r="B8" s="5">
        <v>2</v>
      </c>
      <c r="C8" s="5">
        <v>1.77</v>
      </c>
    </row>
    <row r="9" spans="1:3" x14ac:dyDescent="0.3">
      <c r="A9" s="5">
        <v>3.68</v>
      </c>
      <c r="B9" s="5">
        <v>2</v>
      </c>
      <c r="C9" s="5">
        <v>1.84</v>
      </c>
    </row>
    <row r="10" spans="1:3" x14ac:dyDescent="0.3">
      <c r="A10" s="5">
        <v>2.99</v>
      </c>
      <c r="B10" s="5">
        <v>2</v>
      </c>
      <c r="C10" s="5">
        <v>1.4950000000000001</v>
      </c>
    </row>
    <row r="11" spans="1:3" x14ac:dyDescent="0.3">
      <c r="A11" s="5">
        <v>4.5599999999999996</v>
      </c>
      <c r="B11" s="5">
        <v>3</v>
      </c>
      <c r="C11" s="5">
        <v>1.5199999999999998</v>
      </c>
    </row>
    <row r="12" spans="1:3" x14ac:dyDescent="0.3">
      <c r="A12" s="5">
        <v>4.32</v>
      </c>
      <c r="B12" s="5">
        <v>3</v>
      </c>
      <c r="C12" s="5">
        <v>1.4400000000000002</v>
      </c>
    </row>
    <row r="13" spans="1:3" x14ac:dyDescent="0.3">
      <c r="A13" s="5">
        <v>0.85699999999999998</v>
      </c>
      <c r="B13" s="5">
        <v>1</v>
      </c>
      <c r="C13" s="5">
        <v>0.85699999999999998</v>
      </c>
    </row>
    <row r="14" spans="1:3" x14ac:dyDescent="0.3">
      <c r="A14" s="5">
        <v>0.91700000000000004</v>
      </c>
      <c r="B14" s="5">
        <v>1</v>
      </c>
      <c r="C14" s="5">
        <v>0.91700000000000004</v>
      </c>
    </row>
    <row r="15" spans="1:3" x14ac:dyDescent="0.3">
      <c r="A15" s="5">
        <v>1.4319999999999999</v>
      </c>
      <c r="B15" s="5">
        <v>1</v>
      </c>
      <c r="C15" s="5">
        <v>1.4319999999999999</v>
      </c>
    </row>
    <row r="16" spans="1:3" x14ac:dyDescent="0.3">
      <c r="A16" s="5">
        <v>1.1419999999999999</v>
      </c>
      <c r="B16" s="5">
        <v>1</v>
      </c>
      <c r="C16" s="5">
        <v>1.1419999999999999</v>
      </c>
    </row>
    <row r="17" spans="1:3" x14ac:dyDescent="0.3">
      <c r="A17" s="5">
        <v>6.0990000000000002</v>
      </c>
      <c r="B17" s="5">
        <v>4</v>
      </c>
      <c r="C17" s="5">
        <v>1.52475</v>
      </c>
    </row>
    <row r="18" spans="1:3" x14ac:dyDescent="0.3">
      <c r="A18" s="5">
        <v>9.2899999999999991</v>
      </c>
      <c r="B18" s="5">
        <v>6</v>
      </c>
      <c r="C18" s="5">
        <v>1.5483333333333331</v>
      </c>
    </row>
    <row r="19" spans="1:3" x14ac:dyDescent="0.3">
      <c r="A19" s="5">
        <v>2.988</v>
      </c>
      <c r="B19" s="5">
        <v>2</v>
      </c>
      <c r="C19" s="5">
        <v>1.494</v>
      </c>
    </row>
    <row r="20" spans="1:3" x14ac:dyDescent="0.3">
      <c r="A20" s="5">
        <v>4.835</v>
      </c>
      <c r="B20" s="5">
        <v>3</v>
      </c>
      <c r="C20" s="6">
        <v>1.6116666666666666</v>
      </c>
    </row>
    <row r="21" spans="1:3" x14ac:dyDescent="0.3">
      <c r="A21" s="5">
        <v>9.2530000000000001</v>
      </c>
      <c r="B21" s="5">
        <v>6</v>
      </c>
      <c r="C21" s="5">
        <v>1.5421666666666667</v>
      </c>
    </row>
    <row r="22" spans="1:3" x14ac:dyDescent="0.3">
      <c r="A22" s="5">
        <v>10.654999999999999</v>
      </c>
      <c r="B22" s="5">
        <v>7</v>
      </c>
      <c r="C22" s="5">
        <v>1.522142857142857</v>
      </c>
    </row>
    <row r="23" spans="1:3" x14ac:dyDescent="0.3">
      <c r="A23" s="5">
        <v>4.641</v>
      </c>
      <c r="B23" s="5">
        <v>3</v>
      </c>
      <c r="C23" s="5">
        <v>1.5469999999999999</v>
      </c>
    </row>
    <row r="24" spans="1:3" x14ac:dyDescent="0.3">
      <c r="A24" s="5">
        <v>6.1619999999999999</v>
      </c>
      <c r="B24" s="5">
        <v>4</v>
      </c>
      <c r="C24" s="5">
        <v>1.5405</v>
      </c>
    </row>
    <row r="25" spans="1:3" x14ac:dyDescent="0.3">
      <c r="A25" s="5">
        <v>13.462</v>
      </c>
      <c r="B25" s="5">
        <v>8</v>
      </c>
      <c r="C25" s="5">
        <v>1.68275</v>
      </c>
    </row>
    <row r="26" spans="1:3" x14ac:dyDescent="0.3">
      <c r="A26" s="5">
        <v>3.0539999999999998</v>
      </c>
      <c r="B26" s="5">
        <v>2</v>
      </c>
      <c r="C26" s="5">
        <v>1.5269999999999999</v>
      </c>
    </row>
    <row r="27" spans="1:3" x14ac:dyDescent="0.3">
      <c r="A27" s="5">
        <v>16.475999999999999</v>
      </c>
      <c r="B27" s="5">
        <v>10</v>
      </c>
      <c r="C27" s="5">
        <v>1.6476</v>
      </c>
    </row>
    <row r="28" spans="1:3" x14ac:dyDescent="0.3">
      <c r="A28" s="5">
        <v>40.700000000000003</v>
      </c>
      <c r="B28" s="5">
        <v>25</v>
      </c>
      <c r="C28" s="6">
        <v>1.6280000000000001</v>
      </c>
    </row>
    <row r="29" spans="1:3" x14ac:dyDescent="0.3">
      <c r="A29" s="5">
        <v>9.2859999999999996</v>
      </c>
      <c r="B29" s="5">
        <v>6</v>
      </c>
      <c r="C29" s="5">
        <v>1.5476666666666665</v>
      </c>
    </row>
    <row r="30" spans="1:3" x14ac:dyDescent="0.3">
      <c r="A30" s="5">
        <v>6.03</v>
      </c>
      <c r="B30" s="5">
        <v>4</v>
      </c>
      <c r="C30" s="5">
        <v>1.5075000000000001</v>
      </c>
    </row>
    <row r="31" spans="1:3" x14ac:dyDescent="0.3">
      <c r="A31" s="5">
        <v>7.4909999999999997</v>
      </c>
      <c r="B31" s="5">
        <v>5</v>
      </c>
      <c r="C31" s="5">
        <v>1.4982</v>
      </c>
    </row>
    <row r="32" spans="1:3" x14ac:dyDescent="0.3">
      <c r="A32" s="5">
        <v>4.5919999999999996</v>
      </c>
      <c r="B32" s="5">
        <v>3</v>
      </c>
      <c r="C32" s="5">
        <v>1.5306666666666666</v>
      </c>
    </row>
    <row r="33" spans="1:3" x14ac:dyDescent="0.3">
      <c r="A33" s="5">
        <v>4.57</v>
      </c>
      <c r="B33" s="5">
        <v>3</v>
      </c>
      <c r="C33" s="5">
        <v>1.5233333333333334</v>
      </c>
    </row>
    <row r="34" spans="1:3" x14ac:dyDescent="0.3">
      <c r="A34" s="5">
        <v>7.4059999999999997</v>
      </c>
      <c r="B34" s="5">
        <v>5</v>
      </c>
      <c r="C34" s="5">
        <v>1.4811999999999999</v>
      </c>
    </row>
    <row r="35" spans="1:3" x14ac:dyDescent="0.3">
      <c r="A35" s="5">
        <v>3.47</v>
      </c>
      <c r="B35" s="5">
        <v>2</v>
      </c>
      <c r="C35" s="5">
        <v>1.7350000000000001</v>
      </c>
    </row>
    <row r="36" spans="1:3" x14ac:dyDescent="0.3">
      <c r="A36" s="5">
        <v>3.637</v>
      </c>
      <c r="B36" s="5">
        <v>2</v>
      </c>
      <c r="C36" s="5">
        <v>1.8185</v>
      </c>
    </row>
    <row r="37" spans="1:3" x14ac:dyDescent="0.3">
      <c r="A37" s="5">
        <v>6.2480000000000002</v>
      </c>
      <c r="B37" s="5">
        <v>4</v>
      </c>
      <c r="C37" s="5">
        <v>1.5620000000000001</v>
      </c>
    </row>
    <row r="38" spans="1:3" x14ac:dyDescent="0.3">
      <c r="A38" s="5">
        <v>4.5430000000000001</v>
      </c>
      <c r="B38" s="5">
        <v>3</v>
      </c>
      <c r="C38" s="5">
        <v>1.5143333333333333</v>
      </c>
    </row>
    <row r="39" spans="1:3" x14ac:dyDescent="0.3">
      <c r="A39" s="5">
        <v>4.7460000000000004</v>
      </c>
      <c r="B39" s="5">
        <v>3</v>
      </c>
      <c r="C39" s="6">
        <v>1.5820000000000001</v>
      </c>
    </row>
    <row r="40" spans="1:3" x14ac:dyDescent="0.3">
      <c r="A40" s="5">
        <v>9.2750000000000004</v>
      </c>
      <c r="B40" s="5">
        <v>6</v>
      </c>
      <c r="C40" s="5">
        <v>1.5458333333333334</v>
      </c>
    </row>
    <row r="41" spans="1:3" x14ac:dyDescent="0.3">
      <c r="A41" s="5">
        <v>44.177</v>
      </c>
      <c r="B41" s="5">
        <v>28</v>
      </c>
      <c r="C41" s="5">
        <v>1.57775</v>
      </c>
    </row>
    <row r="42" spans="1:3" x14ac:dyDescent="0.3">
      <c r="A42" s="5">
        <v>16.925000000000001</v>
      </c>
      <c r="B42" s="5">
        <v>11</v>
      </c>
      <c r="C42" s="5">
        <v>1.5386363636363638</v>
      </c>
    </row>
    <row r="43" spans="1:3" x14ac:dyDescent="0.3">
      <c r="A43" s="5">
        <v>1.39</v>
      </c>
      <c r="B43" s="5">
        <v>1</v>
      </c>
      <c r="C43" s="5">
        <v>1.39</v>
      </c>
    </row>
    <row r="44" spans="1:3" x14ac:dyDescent="0.3">
      <c r="A44" s="5">
        <v>3.8959999999999999</v>
      </c>
      <c r="B44" s="5">
        <v>2</v>
      </c>
      <c r="C44" s="5">
        <v>1.948</v>
      </c>
    </row>
    <row r="45" spans="1:3" x14ac:dyDescent="0.3">
      <c r="A45" s="5">
        <v>2.0059999999999998</v>
      </c>
      <c r="B45" s="5">
        <v>1</v>
      </c>
      <c r="C45" s="5">
        <v>2.0059999999999998</v>
      </c>
    </row>
    <row r="46" spans="1:3" x14ac:dyDescent="0.3">
      <c r="A46" s="5">
        <v>3.1669999999999998</v>
      </c>
      <c r="B46" s="5">
        <v>2</v>
      </c>
      <c r="C46" s="6">
        <v>1.5834999999999999</v>
      </c>
    </row>
    <row r="47" spans="1:3" x14ac:dyDescent="0.3">
      <c r="A47" s="5">
        <v>7.3789999999999996</v>
      </c>
      <c r="B47" s="5">
        <v>5</v>
      </c>
      <c r="C47" s="5">
        <v>1.4758</v>
      </c>
    </row>
    <row r="48" spans="1:3" x14ac:dyDescent="0.3">
      <c r="A48" s="5">
        <v>9.6780000000000008</v>
      </c>
      <c r="B48" s="5">
        <v>6</v>
      </c>
      <c r="C48" s="6">
        <v>1.6130000000000002</v>
      </c>
    </row>
    <row r="49" spans="1:3" x14ac:dyDescent="0.3">
      <c r="A49" s="5">
        <v>3.6669999999999998</v>
      </c>
      <c r="B49" s="5">
        <v>2</v>
      </c>
      <c r="C49" s="5">
        <v>1.8334999999999999</v>
      </c>
    </row>
    <row r="50" spans="1:3" x14ac:dyDescent="0.3">
      <c r="A50" s="5">
        <v>4.9000000000000004</v>
      </c>
      <c r="B50" s="5">
        <v>3</v>
      </c>
      <c r="C50" s="5">
        <v>1.6333333333333335</v>
      </c>
    </row>
    <row r="51" spans="1:3" x14ac:dyDescent="0.3">
      <c r="A51" s="5">
        <v>7.4640000000000004</v>
      </c>
      <c r="B51" s="5">
        <v>5</v>
      </c>
      <c r="C51" s="5">
        <v>1.4928000000000001</v>
      </c>
    </row>
    <row r="52" spans="1:3" x14ac:dyDescent="0.3">
      <c r="A52" s="5">
        <v>9.1189999999999998</v>
      </c>
      <c r="B52" s="5">
        <v>6</v>
      </c>
      <c r="C52" s="5">
        <v>1.5198333333333334</v>
      </c>
    </row>
    <row r="53" spans="1:3" x14ac:dyDescent="0.3">
      <c r="A53" s="5">
        <v>1.8580000000000001</v>
      </c>
      <c r="B53" s="5">
        <v>1</v>
      </c>
      <c r="C53" s="5">
        <v>1.8580000000000001</v>
      </c>
    </row>
    <row r="54" spans="1:3" x14ac:dyDescent="0.3">
      <c r="A54" s="5">
        <v>3.3260000000000001</v>
      </c>
      <c r="B54" s="5">
        <v>2</v>
      </c>
      <c r="C54" s="5">
        <v>1.663</v>
      </c>
    </row>
    <row r="55" spans="1:3" x14ac:dyDescent="0.3">
      <c r="A55" s="5">
        <v>3.1890000000000001</v>
      </c>
      <c r="B55" s="5">
        <v>2</v>
      </c>
      <c r="C55" s="6">
        <v>1.5945</v>
      </c>
    </row>
    <row r="56" spans="1:3" x14ac:dyDescent="0.3">
      <c r="A56" s="5">
        <v>1.5840000000000001</v>
      </c>
      <c r="B56" s="5">
        <v>1</v>
      </c>
      <c r="C56" s="6">
        <v>1.5840000000000001</v>
      </c>
    </row>
    <row r="57" spans="1:3" x14ac:dyDescent="0.3">
      <c r="A57" s="5">
        <v>1.63</v>
      </c>
      <c r="B57" s="5">
        <v>1</v>
      </c>
      <c r="C57" s="5">
        <v>1.63</v>
      </c>
    </row>
    <row r="58" spans="1:3" x14ac:dyDescent="0.3">
      <c r="A58" s="5">
        <v>7.8040000000000003</v>
      </c>
      <c r="B58" s="5">
        <v>5</v>
      </c>
      <c r="C58" s="5">
        <v>1.5608</v>
      </c>
    </row>
    <row r="59" spans="1:3" x14ac:dyDescent="0.3">
      <c r="A59" s="5">
        <v>1.577</v>
      </c>
      <c r="B59" s="5">
        <v>1</v>
      </c>
      <c r="C59" s="5">
        <v>1.577</v>
      </c>
    </row>
    <row r="60" spans="1:3" x14ac:dyDescent="0.3">
      <c r="A60" s="5">
        <v>4.7460000000000004</v>
      </c>
      <c r="B60" s="5">
        <v>3</v>
      </c>
      <c r="C60" s="6">
        <v>1.5820000000000001</v>
      </c>
    </row>
    <row r="61" spans="1:3" x14ac:dyDescent="0.3">
      <c r="A61" s="5">
        <v>6.3239999999999998</v>
      </c>
      <c r="B61" s="5">
        <v>4</v>
      </c>
      <c r="C61" s="6">
        <v>1.581</v>
      </c>
    </row>
    <row r="62" spans="1:3" x14ac:dyDescent="0.3">
      <c r="A62" s="5">
        <v>1.5389999999999999</v>
      </c>
      <c r="B62" s="5">
        <v>1</v>
      </c>
      <c r="C62" s="5">
        <v>1.5389999999999999</v>
      </c>
    </row>
    <row r="63" spans="1:3" x14ac:dyDescent="0.3">
      <c r="A63" s="5">
        <v>4.6150000000000002</v>
      </c>
      <c r="B63" s="5">
        <v>3</v>
      </c>
      <c r="C63" s="5">
        <v>1.5383333333333333</v>
      </c>
    </row>
    <row r="64" spans="1:3" x14ac:dyDescent="0.3">
      <c r="A64" s="5">
        <v>7.6989999999999998</v>
      </c>
      <c r="B64" s="5">
        <v>5</v>
      </c>
      <c r="C64" s="5">
        <v>1.5398000000000001</v>
      </c>
    </row>
    <row r="65" spans="1:3" x14ac:dyDescent="0.3">
      <c r="A65" s="5">
        <v>1.5529999999999999</v>
      </c>
      <c r="B65" s="5">
        <v>1</v>
      </c>
      <c r="C65" s="5">
        <v>1.5529999999999999</v>
      </c>
    </row>
    <row r="66" spans="1:3" x14ac:dyDescent="0.3">
      <c r="A66" s="5">
        <v>10.72</v>
      </c>
      <c r="B66" s="5">
        <v>7</v>
      </c>
      <c r="C66" s="5">
        <v>1.5314285714285716</v>
      </c>
    </row>
    <row r="67" spans="1:3" x14ac:dyDescent="0.3">
      <c r="A67" s="5">
        <v>4.7569999999999997</v>
      </c>
      <c r="B67" s="5">
        <v>3</v>
      </c>
      <c r="C67" s="6">
        <v>1.5856666666666666</v>
      </c>
    </row>
    <row r="68" spans="1:3" x14ac:dyDescent="0.3">
      <c r="A68" s="5">
        <v>12.116</v>
      </c>
      <c r="B68" s="5">
        <v>8</v>
      </c>
      <c r="C68" s="5">
        <v>1.5145</v>
      </c>
    </row>
    <row r="69" spans="1:3" x14ac:dyDescent="0.3">
      <c r="A69" s="5">
        <v>13.999000000000001</v>
      </c>
      <c r="B69" s="5">
        <v>9</v>
      </c>
      <c r="C69" s="5">
        <v>1.5554444444444444</v>
      </c>
    </row>
    <row r="70" spans="1:3" x14ac:dyDescent="0.3">
      <c r="A70" s="5">
        <v>12.087999999999999</v>
      </c>
      <c r="B70" s="5">
        <v>8</v>
      </c>
      <c r="C70" s="5">
        <v>1.5109999999999999</v>
      </c>
    </row>
    <row r="71" spans="1:3" x14ac:dyDescent="0.3">
      <c r="A71" s="5">
        <v>1.7</v>
      </c>
      <c r="B71" s="5">
        <v>1</v>
      </c>
      <c r="C71" s="5">
        <v>1.7</v>
      </c>
    </row>
    <row r="72" spans="1:3" x14ac:dyDescent="0.3">
      <c r="A72" s="5">
        <v>4.7670000000000003</v>
      </c>
      <c r="B72" s="5">
        <v>3</v>
      </c>
      <c r="C72" s="6">
        <v>1.5890000000000002</v>
      </c>
    </row>
    <row r="73" spans="1:3" x14ac:dyDescent="0.3">
      <c r="A73" s="5">
        <v>1.605</v>
      </c>
      <c r="B73" s="5">
        <v>1</v>
      </c>
      <c r="C73" s="6">
        <v>1.605</v>
      </c>
    </row>
    <row r="74" spans="1:3" x14ac:dyDescent="0.3">
      <c r="A74" s="5">
        <v>15.617000000000001</v>
      </c>
      <c r="B74" s="5">
        <v>10</v>
      </c>
      <c r="C74" s="5">
        <v>1.5617000000000001</v>
      </c>
    </row>
    <row r="75" spans="1:3" x14ac:dyDescent="0.3">
      <c r="A75" s="5">
        <v>29.768999999999998</v>
      </c>
      <c r="B75" s="5">
        <v>19</v>
      </c>
      <c r="C75" s="5">
        <v>1.5667894736842105</v>
      </c>
    </row>
    <row r="76" spans="1:3" x14ac:dyDescent="0.3">
      <c r="A76" s="5">
        <v>15.603</v>
      </c>
      <c r="B76" s="5">
        <v>10</v>
      </c>
      <c r="C76" s="5">
        <v>1.5603</v>
      </c>
    </row>
    <row r="77" spans="1:3" x14ac:dyDescent="0.3">
      <c r="A77" s="5">
        <v>3.016</v>
      </c>
      <c r="B77" s="5">
        <v>2</v>
      </c>
      <c r="C77" s="5">
        <v>1.508</v>
      </c>
    </row>
    <row r="78" spans="1:3" x14ac:dyDescent="0.3">
      <c r="A78" s="5">
        <v>1.615</v>
      </c>
      <c r="B78" s="5">
        <v>1</v>
      </c>
      <c r="C78" s="6">
        <v>1.615</v>
      </c>
    </row>
    <row r="79" spans="1:3" x14ac:dyDescent="0.3">
      <c r="A79" s="5">
        <v>2.0859999999999999</v>
      </c>
      <c r="B79" s="5">
        <v>1</v>
      </c>
      <c r="C79" s="5">
        <v>2.0859999999999999</v>
      </c>
    </row>
    <row r="80" spans="1:3" x14ac:dyDescent="0.3">
      <c r="A80" s="5">
        <v>20.001999999999999</v>
      </c>
      <c r="B80" s="5">
        <v>13</v>
      </c>
      <c r="C80" s="5">
        <v>1.5386153846153845</v>
      </c>
    </row>
    <row r="81" spans="1:3" x14ac:dyDescent="0.3">
      <c r="A81" s="5">
        <v>12.114000000000001</v>
      </c>
      <c r="B81" s="5">
        <v>8</v>
      </c>
      <c r="C81" s="5">
        <v>1.5142500000000001</v>
      </c>
    </row>
    <row r="82" spans="1:3" x14ac:dyDescent="0.3">
      <c r="A82" s="5">
        <v>10.762</v>
      </c>
      <c r="B82" s="5">
        <v>7</v>
      </c>
      <c r="C82" s="5">
        <v>1.5374285714285716</v>
      </c>
    </row>
    <row r="83" spans="1:3" x14ac:dyDescent="0.3">
      <c r="A83" s="5">
        <v>1.5680000000000001</v>
      </c>
      <c r="B83" s="5">
        <v>1</v>
      </c>
      <c r="C83" s="5">
        <v>1.5680000000000001</v>
      </c>
    </row>
    <row r="84" spans="1:3" x14ac:dyDescent="0.3">
      <c r="A84" s="5">
        <v>7.92</v>
      </c>
      <c r="B84" s="5">
        <v>5</v>
      </c>
      <c r="C84" s="6">
        <v>1.5840000000000001</v>
      </c>
    </row>
    <row r="85" spans="1:3" x14ac:dyDescent="0.3">
      <c r="A85" s="5">
        <v>7.9119999999999999</v>
      </c>
      <c r="B85" s="5">
        <v>5</v>
      </c>
      <c r="C85" s="6">
        <v>1.5824</v>
      </c>
    </row>
    <row r="86" spans="1:3" x14ac:dyDescent="0.3">
      <c r="A86" s="5">
        <v>7.5430000000000001</v>
      </c>
      <c r="B86" s="5">
        <v>5</v>
      </c>
      <c r="C86" s="5">
        <v>1.5085999999999999</v>
      </c>
    </row>
    <row r="87" spans="1:3" x14ac:dyDescent="0.3">
      <c r="A87" s="5">
        <v>16.594999999999999</v>
      </c>
      <c r="B87" s="5">
        <v>10</v>
      </c>
      <c r="C87" s="5">
        <v>1.6595</v>
      </c>
    </row>
    <row r="88" spans="1:3" x14ac:dyDescent="0.3">
      <c r="A88" s="5">
        <v>9.15</v>
      </c>
      <c r="B88" s="5">
        <v>6</v>
      </c>
      <c r="C88" s="5">
        <v>1.5250000000000001</v>
      </c>
    </row>
    <row r="89" spans="1:3" x14ac:dyDescent="0.3">
      <c r="A89" s="5">
        <v>3.02</v>
      </c>
      <c r="B89" s="5">
        <v>2</v>
      </c>
      <c r="C89" s="5">
        <v>1.51</v>
      </c>
    </row>
    <row r="90" spans="1:3" x14ac:dyDescent="0.3">
      <c r="A90" s="5">
        <v>1.516</v>
      </c>
      <c r="B90" s="5">
        <v>1</v>
      </c>
      <c r="C90" s="5">
        <v>1.516</v>
      </c>
    </row>
    <row r="91" spans="1:3" x14ac:dyDescent="0.3">
      <c r="A91" s="5">
        <v>6.2130000000000001</v>
      </c>
      <c r="B91" s="5">
        <v>4</v>
      </c>
      <c r="C91" s="5">
        <v>1.55325</v>
      </c>
    </row>
    <row r="92" spans="1:3" x14ac:dyDescent="0.3">
      <c r="A92" s="5">
        <v>1.5589999999999999</v>
      </c>
      <c r="B92" s="5">
        <v>1</v>
      </c>
      <c r="C92" s="5">
        <v>1.5589999999999999</v>
      </c>
    </row>
    <row r="93" spans="1:3" x14ac:dyDescent="0.3">
      <c r="A93" s="5">
        <v>4.8049999999999997</v>
      </c>
      <c r="B93" s="5">
        <v>3</v>
      </c>
      <c r="C93" s="6">
        <v>1.6016666666666666</v>
      </c>
    </row>
    <row r="94" spans="1:3" x14ac:dyDescent="0.3">
      <c r="A94" s="5">
        <v>3.0750000000000002</v>
      </c>
      <c r="B94" s="5">
        <v>2</v>
      </c>
      <c r="C94" s="5">
        <v>1.5375000000000001</v>
      </c>
    </row>
    <row r="95" spans="1:3" x14ac:dyDescent="0.3">
      <c r="A95" s="5">
        <v>4.8280000000000003</v>
      </c>
      <c r="B95" s="5">
        <v>3</v>
      </c>
      <c r="C95" s="6">
        <v>1.6093333333333335</v>
      </c>
    </row>
    <row r="96" spans="1:3" x14ac:dyDescent="0.3">
      <c r="A96" s="5">
        <v>7.5830000000000002</v>
      </c>
      <c r="B96" s="5">
        <v>5</v>
      </c>
      <c r="C96" s="5">
        <v>1.5165999999999999</v>
      </c>
    </row>
    <row r="97" spans="1:3" x14ac:dyDescent="0.3">
      <c r="A97" s="5">
        <v>8.2669999999999995</v>
      </c>
      <c r="B97" s="5">
        <v>5</v>
      </c>
      <c r="C97" s="5">
        <v>1.6534</v>
      </c>
    </row>
    <row r="98" spans="1:3" x14ac:dyDescent="0.3">
      <c r="A98" s="5">
        <v>1.2430000000000001</v>
      </c>
      <c r="B98" s="5">
        <v>1</v>
      </c>
      <c r="C98" s="5">
        <v>1.2430000000000001</v>
      </c>
    </row>
    <row r="99" spans="1:3" x14ac:dyDescent="0.3">
      <c r="A99" s="5">
        <v>3.8820000000000001</v>
      </c>
      <c r="B99" s="5">
        <v>2</v>
      </c>
      <c r="C99" s="5">
        <v>1.9410000000000001</v>
      </c>
    </row>
    <row r="100" spans="1:3" x14ac:dyDescent="0.3">
      <c r="A100" s="5">
        <v>14.419</v>
      </c>
      <c r="B100" s="5">
        <v>9</v>
      </c>
      <c r="C100" s="6">
        <v>1.6021111111111113</v>
      </c>
    </row>
    <row r="101" spans="1:3" x14ac:dyDescent="0.3">
      <c r="A101" s="5">
        <v>15.449</v>
      </c>
      <c r="B101" s="5">
        <v>10</v>
      </c>
      <c r="C101" s="5">
        <v>1.5448999999999999</v>
      </c>
    </row>
    <row r="102" spans="1:3" x14ac:dyDescent="0.3">
      <c r="A102" s="5">
        <v>3.1680000000000001</v>
      </c>
      <c r="B102" s="5">
        <v>2</v>
      </c>
      <c r="C102" s="6">
        <v>1.5840000000000001</v>
      </c>
    </row>
    <row r="103" spans="1:3" x14ac:dyDescent="0.3">
      <c r="A103" s="5">
        <v>10.781000000000001</v>
      </c>
      <c r="B103" s="5">
        <v>7</v>
      </c>
      <c r="C103" s="5">
        <v>1.5401428571428573</v>
      </c>
    </row>
    <row r="104" spans="1:3" x14ac:dyDescent="0.3">
      <c r="A104" s="5">
        <v>6.1550000000000002</v>
      </c>
      <c r="B104" s="5">
        <v>4</v>
      </c>
      <c r="C104" s="5">
        <v>1.5387500000000001</v>
      </c>
    </row>
    <row r="105" spans="1:3" x14ac:dyDescent="0.3">
      <c r="A105" s="5">
        <v>10.858000000000001</v>
      </c>
      <c r="B105" s="5">
        <v>7</v>
      </c>
      <c r="C105" s="5">
        <v>1.5511428571428572</v>
      </c>
    </row>
    <row r="106" spans="1:3" x14ac:dyDescent="0.3">
      <c r="A106" s="5">
        <v>7.681</v>
      </c>
      <c r="B106" s="5">
        <v>5</v>
      </c>
      <c r="C106" s="5">
        <v>1.5362</v>
      </c>
    </row>
    <row r="107" spans="1:3" x14ac:dyDescent="0.3">
      <c r="A107" s="5">
        <v>3.09</v>
      </c>
      <c r="B107" s="5">
        <v>2</v>
      </c>
      <c r="C107" s="5">
        <v>1.5449999999999999</v>
      </c>
    </row>
    <row r="108" spans="1:3" x14ac:dyDescent="0.3">
      <c r="A108" s="5">
        <v>3.06</v>
      </c>
      <c r="B108" s="5">
        <v>2</v>
      </c>
      <c r="C108" s="5">
        <v>1.53</v>
      </c>
    </row>
    <row r="109" spans="1:3" x14ac:dyDescent="0.3">
      <c r="A109" s="5">
        <v>32.499000000000002</v>
      </c>
      <c r="B109" s="5">
        <v>20</v>
      </c>
      <c r="C109" s="6">
        <v>1.6249500000000001</v>
      </c>
    </row>
    <row r="110" spans="1:3" x14ac:dyDescent="0.3">
      <c r="A110" s="5">
        <v>12.734</v>
      </c>
      <c r="B110" s="5">
        <v>8</v>
      </c>
      <c r="C110" s="6">
        <v>1.59175</v>
      </c>
    </row>
    <row r="111" spans="1:3" x14ac:dyDescent="0.3">
      <c r="A111" s="5">
        <v>9.4109999999999996</v>
      </c>
      <c r="B111" s="5">
        <v>6</v>
      </c>
      <c r="C111" s="5">
        <v>1.5685</v>
      </c>
    </row>
    <row r="112" spans="1:3" x14ac:dyDescent="0.3">
      <c r="A112" s="5">
        <v>9.6300000000000008</v>
      </c>
      <c r="B112" s="5">
        <v>6</v>
      </c>
      <c r="C112" s="6">
        <v>1.6050000000000002</v>
      </c>
    </row>
    <row r="113" spans="1:3" x14ac:dyDescent="0.3">
      <c r="A113" s="5">
        <v>12.157999999999999</v>
      </c>
      <c r="B113" s="5">
        <v>8</v>
      </c>
      <c r="C113" s="5">
        <v>1.5197499999999999</v>
      </c>
    </row>
    <row r="114" spans="1:3" x14ac:dyDescent="0.3">
      <c r="A114" s="5">
        <v>6.1029999999999998</v>
      </c>
      <c r="B114" s="5">
        <v>4</v>
      </c>
      <c r="C114" s="5">
        <v>1.5257499999999999</v>
      </c>
    </row>
    <row r="115" spans="1:3" x14ac:dyDescent="0.3">
      <c r="A115" s="5">
        <v>4.726</v>
      </c>
      <c r="B115" s="5">
        <v>3</v>
      </c>
      <c r="C115" s="5">
        <v>1.5753333333333333</v>
      </c>
    </row>
    <row r="116" spans="1:3" x14ac:dyDescent="0.3">
      <c r="A116" s="5">
        <v>21.518000000000001</v>
      </c>
      <c r="B116" s="5">
        <v>13</v>
      </c>
      <c r="C116" s="5">
        <v>1.6552307692307693</v>
      </c>
    </row>
    <row r="117" spans="1:3" x14ac:dyDescent="0.3">
      <c r="A117" s="5">
        <v>4.617</v>
      </c>
      <c r="B117" s="5">
        <v>3</v>
      </c>
      <c r="C117" s="5">
        <v>1.5389999999999999</v>
      </c>
    </row>
    <row r="118" spans="1:3" x14ac:dyDescent="0.3">
      <c r="A118" s="5">
        <v>2.94</v>
      </c>
      <c r="B118" s="5">
        <v>2</v>
      </c>
      <c r="C118" s="5">
        <v>1.47</v>
      </c>
    </row>
    <row r="119" spans="1:3" x14ac:dyDescent="0.3">
      <c r="A119" s="5">
        <v>19.885000000000002</v>
      </c>
      <c r="B119" s="5">
        <v>12</v>
      </c>
      <c r="C119" s="5">
        <v>1.6570833333333335</v>
      </c>
    </row>
    <row r="120" spans="1:3" x14ac:dyDescent="0.3">
      <c r="A120" s="5">
        <v>15.603999999999999</v>
      </c>
      <c r="B120" s="5">
        <v>10</v>
      </c>
      <c r="C120" s="5">
        <v>1.5604</v>
      </c>
    </row>
    <row r="121" spans="1:3" x14ac:dyDescent="0.3">
      <c r="A121" s="5">
        <v>4.5259999999999998</v>
      </c>
      <c r="B121" s="5">
        <v>3</v>
      </c>
      <c r="C121" s="5">
        <v>1.5086666666666666</v>
      </c>
    </row>
    <row r="122" spans="1:3" x14ac:dyDescent="0.3">
      <c r="A122" s="5">
        <v>4.5549999999999997</v>
      </c>
      <c r="B122" s="5">
        <v>3</v>
      </c>
      <c r="C122" s="5">
        <v>1.5183333333333333</v>
      </c>
    </row>
    <row r="123" spans="1:3" x14ac:dyDescent="0.3">
      <c r="A123" s="5">
        <v>26.295999999999999</v>
      </c>
      <c r="B123" s="5">
        <v>16</v>
      </c>
      <c r="C123" s="5">
        <v>1.6435</v>
      </c>
    </row>
    <row r="124" spans="1:3" x14ac:dyDescent="0.3">
      <c r="A124" s="5">
        <v>20.802</v>
      </c>
      <c r="B124" s="5">
        <v>13</v>
      </c>
      <c r="C124" s="6">
        <v>1.600153846153846</v>
      </c>
    </row>
    <row r="125" spans="1:3" x14ac:dyDescent="0.3">
      <c r="A125" s="5">
        <v>3.0960000000000001</v>
      </c>
      <c r="B125" s="5">
        <v>2</v>
      </c>
      <c r="C125" s="5">
        <v>1.548</v>
      </c>
    </row>
    <row r="126" spans="1:3" x14ac:dyDescent="0.3">
      <c r="A126" s="5">
        <v>10.68</v>
      </c>
      <c r="B126" s="5">
        <v>7</v>
      </c>
      <c r="C126" s="5">
        <v>1.5257142857142856</v>
      </c>
    </row>
    <row r="127" spans="1:3" x14ac:dyDescent="0.3">
      <c r="A127" s="5">
        <v>10.983000000000001</v>
      </c>
      <c r="B127" s="5">
        <v>7</v>
      </c>
      <c r="C127" s="5">
        <v>1.5690000000000002</v>
      </c>
    </row>
    <row r="128" spans="1:3" x14ac:dyDescent="0.3">
      <c r="A128" s="5">
        <v>8.6989999999999998</v>
      </c>
      <c r="B128" s="5">
        <v>5</v>
      </c>
      <c r="C128" s="5">
        <v>1.7398</v>
      </c>
    </row>
    <row r="129" spans="1:3" x14ac:dyDescent="0.3">
      <c r="A129" s="5">
        <v>4.3339999999999996</v>
      </c>
      <c r="B129" s="5">
        <v>3</v>
      </c>
      <c r="C129" s="5">
        <v>1.4446666666666665</v>
      </c>
    </row>
    <row r="130" spans="1:3" x14ac:dyDescent="0.3">
      <c r="A130" s="5">
        <v>1.51</v>
      </c>
      <c r="B130" s="5">
        <v>1</v>
      </c>
      <c r="C130" s="5">
        <v>1.51</v>
      </c>
    </row>
    <row r="131" spans="1:3" x14ac:dyDescent="0.3">
      <c r="A131" s="5">
        <v>32.188000000000002</v>
      </c>
      <c r="B131" s="5">
        <v>20</v>
      </c>
      <c r="C131" s="6">
        <v>1.6094000000000002</v>
      </c>
    </row>
    <row r="132" spans="1:3" x14ac:dyDescent="0.3">
      <c r="A132" s="5">
        <v>17.687000000000001</v>
      </c>
      <c r="B132" s="5">
        <v>11</v>
      </c>
      <c r="C132" s="6">
        <v>1.607909090909091</v>
      </c>
    </row>
    <row r="133" spans="1:3" x14ac:dyDescent="0.3">
      <c r="A133" s="5">
        <v>1.4450000000000001</v>
      </c>
      <c r="B133" s="5">
        <v>1</v>
      </c>
      <c r="C133" s="5">
        <v>1.4450000000000001</v>
      </c>
    </row>
    <row r="134" spans="1:3" x14ac:dyDescent="0.3">
      <c r="A134" s="5">
        <v>14.757</v>
      </c>
      <c r="B134" s="5">
        <v>9</v>
      </c>
      <c r="C134" s="5">
        <v>1.6396666666666666</v>
      </c>
    </row>
    <row r="135" spans="1:3" x14ac:dyDescent="0.3">
      <c r="A135" s="5">
        <v>18.968</v>
      </c>
      <c r="B135" s="5">
        <v>12</v>
      </c>
      <c r="C135" s="6">
        <v>1.5806666666666667</v>
      </c>
    </row>
    <row r="136" spans="1:3" x14ac:dyDescent="0.3">
      <c r="A136" s="5">
        <v>6.7880000000000003</v>
      </c>
      <c r="B136" s="5">
        <v>4</v>
      </c>
      <c r="C136" s="5">
        <v>1.6970000000000001</v>
      </c>
    </row>
    <row r="137" spans="1:3" x14ac:dyDescent="0.3">
      <c r="A137" s="5">
        <v>1.7290000000000001</v>
      </c>
      <c r="B137" s="5">
        <v>1</v>
      </c>
      <c r="C137" s="5">
        <v>1.7290000000000001</v>
      </c>
    </row>
    <row r="138" spans="1:3" x14ac:dyDescent="0.3">
      <c r="A138" s="5">
        <v>5.0970000000000004</v>
      </c>
      <c r="B138" s="5">
        <v>3</v>
      </c>
      <c r="C138" s="5">
        <v>1.6990000000000001</v>
      </c>
    </row>
    <row r="139" spans="1:3" x14ac:dyDescent="0.3">
      <c r="A139" s="5">
        <v>6.3680000000000003</v>
      </c>
      <c r="B139" s="5">
        <v>4</v>
      </c>
      <c r="C139" s="5">
        <v>1.5920000000000001</v>
      </c>
    </row>
    <row r="140" spans="1:3" x14ac:dyDescent="0.3">
      <c r="A140" s="5">
        <v>14.817</v>
      </c>
      <c r="B140" s="5">
        <v>9</v>
      </c>
      <c r="C140" s="5">
        <v>1.6463333333333334</v>
      </c>
    </row>
    <row r="141" spans="1:3" x14ac:dyDescent="0.3">
      <c r="A141" s="5">
        <v>13.811999999999999</v>
      </c>
      <c r="B141" s="5">
        <v>9</v>
      </c>
      <c r="C141" s="5">
        <v>1.5346666666666666</v>
      </c>
    </row>
    <row r="142" spans="1:3" x14ac:dyDescent="0.3">
      <c r="A142" s="5">
        <v>3.125</v>
      </c>
      <c r="B142" s="5">
        <v>2</v>
      </c>
      <c r="C142" s="5">
        <v>1.5625</v>
      </c>
    </row>
    <row r="143" spans="1:3" x14ac:dyDescent="0.3">
      <c r="A143" s="5">
        <v>1.6180000000000001</v>
      </c>
      <c r="B143" s="5">
        <v>1</v>
      </c>
      <c r="C143" s="6">
        <v>1.6180000000000001</v>
      </c>
    </row>
    <row r="144" spans="1:3" x14ac:dyDescent="0.3">
      <c r="A144" s="5">
        <v>4.5590000000000002</v>
      </c>
      <c r="B144" s="5">
        <v>3</v>
      </c>
      <c r="C144" s="5">
        <v>1.5196666666666667</v>
      </c>
    </row>
    <row r="145" spans="1:3" x14ac:dyDescent="0.3">
      <c r="A145" s="5">
        <v>5.0640000000000001</v>
      </c>
      <c r="B145" s="5">
        <v>3</v>
      </c>
      <c r="C145" s="5">
        <v>1.6879999999999999</v>
      </c>
    </row>
    <row r="146" spans="1:3" x14ac:dyDescent="0.3">
      <c r="A146" s="5">
        <v>7.7489999999999997</v>
      </c>
      <c r="B146" s="5">
        <v>5</v>
      </c>
      <c r="C146" s="5">
        <v>1.5497999999999998</v>
      </c>
    </row>
    <row r="147" spans="1:3" x14ac:dyDescent="0.3">
      <c r="A147" s="5">
        <v>17.472999999999999</v>
      </c>
      <c r="B147" s="5">
        <v>11</v>
      </c>
      <c r="C147" s="6">
        <v>1.5884545454545453</v>
      </c>
    </row>
    <row r="148" spans="1:3" x14ac:dyDescent="0.3">
      <c r="A148" s="5">
        <v>1.7310000000000001</v>
      </c>
      <c r="B148" s="5">
        <v>1</v>
      </c>
      <c r="C148" s="5">
        <v>1.7310000000000001</v>
      </c>
    </row>
    <row r="149" spans="1:3" x14ac:dyDescent="0.3">
      <c r="A149" s="5">
        <v>1.7150000000000001</v>
      </c>
      <c r="B149" s="5">
        <v>1</v>
      </c>
      <c r="C149" s="5">
        <v>1.7150000000000001</v>
      </c>
    </row>
    <row r="150" spans="1:3" x14ac:dyDescent="0.3">
      <c r="A150" s="5">
        <v>3.3919999999999999</v>
      </c>
      <c r="B150" s="5">
        <v>2</v>
      </c>
      <c r="C150" s="5">
        <v>1.696</v>
      </c>
    </row>
    <row r="151" spans="1:3" x14ac:dyDescent="0.3">
      <c r="A151" s="5">
        <v>1.6919999999999999</v>
      </c>
      <c r="B151" s="5">
        <v>1</v>
      </c>
      <c r="C151" s="5">
        <v>1.6919999999999999</v>
      </c>
    </row>
    <row r="152" spans="1:3" x14ac:dyDescent="0.3">
      <c r="A152" s="5">
        <v>1.7270000000000001</v>
      </c>
      <c r="B152" s="5">
        <v>1</v>
      </c>
      <c r="C152" s="5">
        <v>1.7270000000000001</v>
      </c>
    </row>
    <row r="153" spans="1:3" x14ac:dyDescent="0.3">
      <c r="A153" s="5">
        <v>7.5709999999999997</v>
      </c>
      <c r="B153" s="5">
        <v>5</v>
      </c>
      <c r="C153" s="5">
        <v>1.5142</v>
      </c>
    </row>
    <row r="154" spans="1:3" x14ac:dyDescent="0.3">
      <c r="A154" s="5">
        <v>4.4889999999999999</v>
      </c>
      <c r="B154" s="5">
        <v>3</v>
      </c>
      <c r="C154" s="5">
        <v>1.4963333333333333</v>
      </c>
    </row>
    <row r="155" spans="1:3" x14ac:dyDescent="0.3">
      <c r="A155" s="5">
        <v>10.95</v>
      </c>
      <c r="B155" s="5">
        <v>7</v>
      </c>
      <c r="C155" s="5">
        <v>1.5642857142857143</v>
      </c>
    </row>
    <row r="156" spans="1:3" x14ac:dyDescent="0.3">
      <c r="A156" s="5">
        <v>6.0629999999999997</v>
      </c>
      <c r="B156" s="5">
        <v>4</v>
      </c>
      <c r="C156" s="5">
        <v>1.5157499999999999</v>
      </c>
    </row>
    <row r="157" spans="1:3" x14ac:dyDescent="0.3">
      <c r="A157" s="5">
        <v>12.195</v>
      </c>
      <c r="B157" s="5">
        <v>8</v>
      </c>
      <c r="C157" s="5">
        <v>1.524375</v>
      </c>
    </row>
    <row r="158" spans="1:3" x14ac:dyDescent="0.3">
      <c r="A158" s="5">
        <v>7.5270000000000001</v>
      </c>
      <c r="B158" s="5">
        <v>5</v>
      </c>
      <c r="C158" s="5">
        <v>1.5054000000000001</v>
      </c>
    </row>
    <row r="159" spans="1:3" x14ac:dyDescent="0.3">
      <c r="A159" s="5">
        <v>6.2430000000000003</v>
      </c>
      <c r="B159" s="5">
        <v>4</v>
      </c>
      <c r="C159" s="5">
        <v>1.5607500000000001</v>
      </c>
    </row>
    <row r="160" spans="1:3" x14ac:dyDescent="0.3">
      <c r="A160" s="5">
        <v>6.258</v>
      </c>
      <c r="B160" s="5">
        <v>4</v>
      </c>
      <c r="C160" s="5">
        <v>1.5645</v>
      </c>
    </row>
    <row r="161" spans="1:3" x14ac:dyDescent="0.3">
      <c r="A161" s="5">
        <v>6.1660000000000004</v>
      </c>
      <c r="B161" s="5">
        <v>4</v>
      </c>
      <c r="C161" s="5">
        <v>1.5415000000000001</v>
      </c>
    </row>
    <row r="162" spans="1:3" x14ac:dyDescent="0.3">
      <c r="A162" s="5">
        <v>6.0869999999999997</v>
      </c>
      <c r="B162" s="5">
        <v>4</v>
      </c>
      <c r="C162" s="5">
        <v>1.5217499999999999</v>
      </c>
    </row>
    <row r="163" spans="1:3" x14ac:dyDescent="0.3">
      <c r="A163" s="5">
        <v>6.1239999999999997</v>
      </c>
      <c r="B163" s="5">
        <v>4</v>
      </c>
      <c r="C163" s="5">
        <v>1.5309999999999999</v>
      </c>
    </row>
    <row r="164" spans="1:3" x14ac:dyDescent="0.3">
      <c r="A164" s="5">
        <v>3.242</v>
      </c>
      <c r="B164" s="5">
        <v>2</v>
      </c>
      <c r="C164" s="6">
        <v>1.621</v>
      </c>
    </row>
    <row r="165" spans="1:3" x14ac:dyDescent="0.3">
      <c r="A165" s="5">
        <v>3.9929999999999999</v>
      </c>
      <c r="B165" s="5">
        <v>2</v>
      </c>
      <c r="C165" s="5">
        <v>1.9964999999999999</v>
      </c>
    </row>
    <row r="166" spans="1:3" x14ac:dyDescent="0.3">
      <c r="A166" s="5">
        <v>10.75</v>
      </c>
      <c r="B166" s="5">
        <v>7</v>
      </c>
      <c r="C166" s="5">
        <v>1.5357142857142858</v>
      </c>
    </row>
    <row r="167" spans="1:3" x14ac:dyDescent="0.3">
      <c r="A167" s="5">
        <v>4.9169999999999998</v>
      </c>
      <c r="B167" s="5">
        <v>3</v>
      </c>
      <c r="C167" s="5">
        <v>1.639</v>
      </c>
    </row>
    <row r="168" spans="1:3" x14ac:dyDescent="0.3">
      <c r="A168" s="5">
        <v>7.6689999999999996</v>
      </c>
      <c r="B168" s="5">
        <v>5</v>
      </c>
      <c r="C168" s="5">
        <v>1.5337999999999998</v>
      </c>
    </row>
    <row r="169" spans="1:3" x14ac:dyDescent="0.3">
      <c r="A169" s="5">
        <v>2.4060000000000001</v>
      </c>
      <c r="B169" s="5">
        <v>2</v>
      </c>
      <c r="C169" s="5">
        <v>1.2030000000000001</v>
      </c>
    </row>
    <row r="170" spans="1:3" x14ac:dyDescent="0.3">
      <c r="A170" s="5">
        <v>12.28</v>
      </c>
      <c r="B170" s="5">
        <v>8</v>
      </c>
      <c r="C170" s="5">
        <v>1.5349999999999999</v>
      </c>
    </row>
    <row r="171" spans="1:3" x14ac:dyDescent="0.3">
      <c r="A171" s="5">
        <v>3.05</v>
      </c>
      <c r="B171" s="5">
        <v>2</v>
      </c>
      <c r="C171" s="5">
        <v>1.5249999999999999</v>
      </c>
    </row>
    <row r="172" spans="1:3" x14ac:dyDescent="0.3">
      <c r="A172" s="5">
        <v>6.1970000000000001</v>
      </c>
      <c r="B172" s="5">
        <v>4</v>
      </c>
      <c r="C172" s="5">
        <v>1.54925</v>
      </c>
    </row>
    <row r="173" spans="1:3" x14ac:dyDescent="0.3">
      <c r="A173" s="5">
        <v>3.05</v>
      </c>
      <c r="B173" s="5">
        <v>2</v>
      </c>
      <c r="C173" s="5">
        <v>1.5249999999999999</v>
      </c>
    </row>
    <row r="174" spans="1:3" x14ac:dyDescent="0.3">
      <c r="A174" s="5">
        <v>6.0229999999999997</v>
      </c>
      <c r="B174" s="5">
        <v>4</v>
      </c>
      <c r="C174" s="5">
        <v>1.5057499999999999</v>
      </c>
    </row>
    <row r="175" spans="1:3" x14ac:dyDescent="0.3">
      <c r="A175" s="5">
        <v>10.823</v>
      </c>
      <c r="B175" s="5">
        <v>7</v>
      </c>
      <c r="C175" s="5">
        <v>1.5461428571428573</v>
      </c>
    </row>
    <row r="176" spans="1:3" x14ac:dyDescent="0.3">
      <c r="A176" s="5">
        <v>4.6109999999999998</v>
      </c>
      <c r="B176" s="5">
        <v>3</v>
      </c>
      <c r="C176" s="5">
        <v>1.5369999999999999</v>
      </c>
    </row>
    <row r="177" spans="1:3" x14ac:dyDescent="0.3">
      <c r="A177" s="5">
        <v>3.1379999999999999</v>
      </c>
      <c r="B177" s="5">
        <v>2</v>
      </c>
      <c r="C177" s="5">
        <v>1.569</v>
      </c>
    </row>
    <row r="178" spans="1:3" x14ac:dyDescent="0.3">
      <c r="A178" s="5">
        <v>4.492</v>
      </c>
      <c r="B178" s="5">
        <v>3</v>
      </c>
      <c r="C178" s="5">
        <v>1.4973333333333334</v>
      </c>
    </row>
    <row r="179" spans="1:3" x14ac:dyDescent="0.3">
      <c r="A179" s="5">
        <v>1.4810000000000001</v>
      </c>
      <c r="B179" s="5">
        <v>1</v>
      </c>
      <c r="C179" s="5">
        <v>1.4810000000000001</v>
      </c>
    </row>
    <row r="180" spans="1:3" x14ac:dyDescent="0.3">
      <c r="A180" s="5">
        <v>1.5469999999999999</v>
      </c>
      <c r="B180" s="5">
        <v>1</v>
      </c>
      <c r="C180" s="5">
        <v>1.5469999999999999</v>
      </c>
    </row>
    <row r="181" spans="1:3" x14ac:dyDescent="0.3">
      <c r="A181" s="5">
        <v>22.852</v>
      </c>
      <c r="B181" s="5">
        <v>14</v>
      </c>
      <c r="C181" s="5">
        <v>1.6322857142857143</v>
      </c>
    </row>
    <row r="182" spans="1:3" x14ac:dyDescent="0.3">
      <c r="A182" s="5">
        <v>17.222000000000001</v>
      </c>
      <c r="B182" s="5">
        <v>11</v>
      </c>
      <c r="C182" s="5">
        <v>1.5656363636363637</v>
      </c>
    </row>
    <row r="183" spans="1:3" x14ac:dyDescent="0.3">
      <c r="A183" s="5">
        <v>3.0110000000000001</v>
      </c>
      <c r="B183" s="5">
        <v>2</v>
      </c>
      <c r="C183" s="5">
        <v>1.5055000000000001</v>
      </c>
    </row>
    <row r="184" spans="1:3" x14ac:dyDescent="0.3">
      <c r="A184" s="5">
        <v>12.297000000000001</v>
      </c>
      <c r="B184" s="5">
        <v>8</v>
      </c>
      <c r="C184" s="5">
        <v>1.5371250000000001</v>
      </c>
    </row>
    <row r="185" spans="1:3" x14ac:dyDescent="0.3">
      <c r="A185" s="5">
        <v>9.2430000000000003</v>
      </c>
      <c r="B185" s="5">
        <v>6</v>
      </c>
      <c r="C185" s="5">
        <v>1.5405</v>
      </c>
    </row>
    <row r="186" spans="1:3" x14ac:dyDescent="0.3">
      <c r="A186" s="5">
        <v>7.1950000000000003</v>
      </c>
      <c r="B186" s="5">
        <v>4</v>
      </c>
      <c r="C186" s="5">
        <v>1.7987500000000001</v>
      </c>
    </row>
    <row r="187" spans="1:3" x14ac:dyDescent="0.3">
      <c r="A187" s="5">
        <v>6.226</v>
      </c>
      <c r="B187" s="5">
        <v>4</v>
      </c>
      <c r="C187" s="5">
        <v>1.5565</v>
      </c>
    </row>
    <row r="188" spans="1:3" x14ac:dyDescent="0.3">
      <c r="A188" s="5">
        <v>28.181999999999999</v>
      </c>
      <c r="B188" s="5">
        <v>18</v>
      </c>
      <c r="C188" s="5">
        <v>1.5656666666666665</v>
      </c>
    </row>
    <row r="189" spans="1:3" x14ac:dyDescent="0.3">
      <c r="A189" s="5">
        <v>1.492</v>
      </c>
      <c r="B189" s="5">
        <v>1</v>
      </c>
      <c r="C189" s="5">
        <v>1.492</v>
      </c>
    </row>
    <row r="190" spans="1:3" x14ac:dyDescent="0.3">
      <c r="A190" s="5">
        <v>3.0339999999999998</v>
      </c>
      <c r="B190" s="5">
        <v>2</v>
      </c>
      <c r="C190" s="5">
        <v>1.5169999999999999</v>
      </c>
    </row>
    <row r="191" spans="1:3" x14ac:dyDescent="0.3">
      <c r="A191" s="5">
        <v>2.9820000000000002</v>
      </c>
      <c r="B191" s="5">
        <v>2</v>
      </c>
      <c r="C191" s="5">
        <v>1.4910000000000001</v>
      </c>
    </row>
    <row r="192" spans="1:3" x14ac:dyDescent="0.3">
      <c r="A192" s="5">
        <v>4.3940000000000001</v>
      </c>
      <c r="B192" s="5">
        <v>3</v>
      </c>
      <c r="C192" s="5">
        <v>1.4646666666666668</v>
      </c>
    </row>
    <row r="193" spans="1:3" x14ac:dyDescent="0.3">
      <c r="A193" s="5">
        <v>5.8970000000000002</v>
      </c>
      <c r="B193" s="5">
        <v>4</v>
      </c>
      <c r="C193" s="5">
        <v>1.4742500000000001</v>
      </c>
    </row>
    <row r="194" spans="1:3" x14ac:dyDescent="0.3">
      <c r="A194" s="5">
        <v>11.865</v>
      </c>
      <c r="B194" s="5">
        <v>7</v>
      </c>
      <c r="C194" s="5">
        <v>1.6950000000000001</v>
      </c>
    </row>
    <row r="195" spans="1:3" x14ac:dyDescent="0.3">
      <c r="A195" s="5">
        <v>11.577</v>
      </c>
      <c r="B195" s="5">
        <v>7</v>
      </c>
      <c r="C195" s="5">
        <v>1.6538571428571429</v>
      </c>
    </row>
    <row r="196" spans="1:3" x14ac:dyDescent="0.3">
      <c r="A196" s="5">
        <v>18.132000000000001</v>
      </c>
      <c r="B196" s="5">
        <v>11</v>
      </c>
      <c r="C196" s="5">
        <v>1.6483636363636365</v>
      </c>
    </row>
    <row r="197" spans="1:3" x14ac:dyDescent="0.3">
      <c r="A197" s="5">
        <v>13.407</v>
      </c>
      <c r="B197" s="5">
        <v>8</v>
      </c>
      <c r="C197" s="5">
        <v>1.675875</v>
      </c>
    </row>
    <row r="198" spans="1:3" x14ac:dyDescent="0.3">
      <c r="A198" s="5">
        <v>13.863</v>
      </c>
      <c r="B198" s="5">
        <v>9</v>
      </c>
      <c r="C198" s="5">
        <v>1.5403333333333333</v>
      </c>
    </row>
    <row r="199" spans="1:3" x14ac:dyDescent="0.3">
      <c r="A199" s="5">
        <v>8.5890000000000004</v>
      </c>
      <c r="B199" s="5">
        <v>5</v>
      </c>
      <c r="C199" s="5">
        <v>1.7178</v>
      </c>
    </row>
    <row r="200" spans="1:3" x14ac:dyDescent="0.3">
      <c r="A200" s="5">
        <v>66.022999999999996</v>
      </c>
      <c r="B200" s="5">
        <v>41</v>
      </c>
      <c r="C200" s="6">
        <v>1.6103170731707317</v>
      </c>
    </row>
    <row r="201" spans="1:3" x14ac:dyDescent="0.3">
      <c r="A201" s="5">
        <v>2.7450000000000001</v>
      </c>
      <c r="B201" s="5">
        <v>2</v>
      </c>
      <c r="C201" s="5">
        <v>1.3725000000000001</v>
      </c>
    </row>
    <row r="202" spans="1:3" x14ac:dyDescent="0.3">
      <c r="A202" s="5">
        <v>14.606999999999999</v>
      </c>
      <c r="B202" s="5">
        <v>9</v>
      </c>
      <c r="C202" s="6">
        <v>1.623</v>
      </c>
    </row>
    <row r="203" spans="1:3" x14ac:dyDescent="0.3">
      <c r="A203" s="5">
        <v>6.34</v>
      </c>
      <c r="B203" s="5">
        <v>4</v>
      </c>
      <c r="C203" s="6">
        <v>1.585</v>
      </c>
    </row>
    <row r="204" spans="1:3" x14ac:dyDescent="0.3">
      <c r="A204" s="5">
        <v>1.5680000000000001</v>
      </c>
      <c r="B204" s="5">
        <v>1</v>
      </c>
      <c r="C204" s="5">
        <v>1.5680000000000001</v>
      </c>
    </row>
    <row r="205" spans="1:3" x14ac:dyDescent="0.3">
      <c r="A205" s="5">
        <v>3.02</v>
      </c>
      <c r="B205" s="5">
        <v>2</v>
      </c>
      <c r="C205" s="5">
        <v>1.51</v>
      </c>
    </row>
    <row r="206" spans="1:3" x14ac:dyDescent="0.3">
      <c r="A206" s="5">
        <v>22.3</v>
      </c>
      <c r="B206" s="5">
        <v>14</v>
      </c>
      <c r="C206" s="6">
        <v>1.592857142857143</v>
      </c>
    </row>
    <row r="207" spans="1:3" x14ac:dyDescent="0.3">
      <c r="A207" s="5">
        <v>5.8769999999999998</v>
      </c>
      <c r="B207" s="5">
        <v>4</v>
      </c>
      <c r="C207" s="5">
        <v>1.4692499999999999</v>
      </c>
    </row>
    <row r="208" spans="1:3" x14ac:dyDescent="0.3">
      <c r="A208" s="5">
        <v>4.298</v>
      </c>
      <c r="B208" s="5">
        <v>3</v>
      </c>
      <c r="C208" s="5">
        <v>1.4326666666666668</v>
      </c>
    </row>
    <row r="209" spans="1:3" x14ac:dyDescent="0.3">
      <c r="A209" s="5">
        <v>5.3689999999999998</v>
      </c>
      <c r="B209" s="5">
        <v>3</v>
      </c>
      <c r="C209" s="5">
        <v>1.7896666666666665</v>
      </c>
    </row>
    <row r="210" spans="1:3" x14ac:dyDescent="0.3">
      <c r="A210" s="5">
        <v>19.513999999999999</v>
      </c>
      <c r="B210" s="5">
        <v>12</v>
      </c>
      <c r="C210" s="6">
        <v>1.6261666666666665</v>
      </c>
    </row>
    <row r="211" spans="1:3" x14ac:dyDescent="0.3">
      <c r="A211" s="5">
        <v>2.5920000000000001</v>
      </c>
      <c r="B211" s="5">
        <v>2</v>
      </c>
      <c r="C211" s="5">
        <v>1.296</v>
      </c>
    </row>
    <row r="212" spans="1:3" x14ac:dyDescent="0.3">
      <c r="A212" s="5">
        <v>7.8630000000000004</v>
      </c>
      <c r="B212" s="5">
        <v>5</v>
      </c>
      <c r="C212" s="5">
        <v>1.5726</v>
      </c>
    </row>
    <row r="213" spans="1:3" x14ac:dyDescent="0.3">
      <c r="A213" s="5">
        <v>9.0890000000000004</v>
      </c>
      <c r="B213" s="5">
        <v>6</v>
      </c>
      <c r="C213" s="5">
        <v>1.5148333333333335</v>
      </c>
    </row>
    <row r="214" spans="1:3" x14ac:dyDescent="0.3">
      <c r="A214" s="5">
        <v>1.5580000000000001</v>
      </c>
      <c r="B214" s="5">
        <v>1</v>
      </c>
      <c r="C214" s="5">
        <v>1.5580000000000001</v>
      </c>
    </row>
    <row r="215" spans="1:3" x14ac:dyDescent="0.3">
      <c r="A215" s="5">
        <v>3.069</v>
      </c>
      <c r="B215" s="5">
        <v>2</v>
      </c>
      <c r="C215" s="5">
        <v>1.5345</v>
      </c>
    </row>
    <row r="216" spans="1:3" x14ac:dyDescent="0.3">
      <c r="A216" s="5">
        <v>7.782</v>
      </c>
      <c r="B216" s="5">
        <v>5</v>
      </c>
      <c r="C216" s="5">
        <v>1.5564</v>
      </c>
    </row>
    <row r="217" spans="1:3" x14ac:dyDescent="0.3">
      <c r="A217" s="5">
        <v>6.048</v>
      </c>
      <c r="B217" s="5">
        <v>4</v>
      </c>
      <c r="C217" s="5">
        <v>1.512</v>
      </c>
    </row>
    <row r="218" spans="1:3" x14ac:dyDescent="0.3">
      <c r="A218" s="5">
        <v>6.0010000000000003</v>
      </c>
      <c r="B218" s="5">
        <v>4</v>
      </c>
      <c r="C218" s="5">
        <v>1.5002500000000001</v>
      </c>
    </row>
    <row r="219" spans="1:3" x14ac:dyDescent="0.3">
      <c r="A219" s="5">
        <v>2.9830000000000001</v>
      </c>
      <c r="B219" s="5">
        <v>2</v>
      </c>
      <c r="C219" s="5">
        <v>1.4915</v>
      </c>
    </row>
    <row r="220" spans="1:3" x14ac:dyDescent="0.3">
      <c r="A220" s="5">
        <v>3.0019999999999998</v>
      </c>
      <c r="B220" s="5">
        <v>2</v>
      </c>
      <c r="C220" s="5">
        <v>1.5009999999999999</v>
      </c>
    </row>
    <row r="221" spans="1:3" x14ac:dyDescent="0.3">
      <c r="A221" s="5">
        <v>4.3</v>
      </c>
      <c r="B221" s="5">
        <v>3</v>
      </c>
      <c r="C221" s="5">
        <v>1.4333333333333333</v>
      </c>
    </row>
    <row r="222" spans="1:3" x14ac:dyDescent="0.3">
      <c r="A222" s="5">
        <v>3.0190000000000001</v>
      </c>
      <c r="B222" s="5">
        <v>2</v>
      </c>
      <c r="C222" s="5">
        <v>1.5095000000000001</v>
      </c>
    </row>
    <row r="223" spans="1:3" x14ac:dyDescent="0.3">
      <c r="A223" s="5">
        <v>1.4930000000000001</v>
      </c>
      <c r="B223" s="5">
        <v>1</v>
      </c>
      <c r="C223" s="5">
        <v>1.4930000000000001</v>
      </c>
    </row>
    <row r="224" spans="1:3" x14ac:dyDescent="0.3">
      <c r="A224" s="5">
        <v>1.4770000000000001</v>
      </c>
      <c r="B224" s="5">
        <v>1</v>
      </c>
      <c r="C224" s="5">
        <v>1.4770000000000001</v>
      </c>
    </row>
    <row r="225" spans="1:3" x14ac:dyDescent="0.3">
      <c r="A225" s="5">
        <v>4.5720000000000001</v>
      </c>
      <c r="B225" s="5">
        <v>3</v>
      </c>
      <c r="C225" s="5">
        <v>1.524</v>
      </c>
    </row>
    <row r="226" spans="1:3" x14ac:dyDescent="0.3">
      <c r="A226" s="5">
        <v>4.5369999999999999</v>
      </c>
      <c r="B226" s="5">
        <v>3</v>
      </c>
      <c r="C226" s="5">
        <v>1.5123333333333333</v>
      </c>
    </row>
    <row r="227" spans="1:3" x14ac:dyDescent="0.3">
      <c r="A227" s="5">
        <v>4.6440000000000001</v>
      </c>
      <c r="B227" s="5">
        <v>3</v>
      </c>
      <c r="C227" s="5">
        <v>1.548</v>
      </c>
    </row>
    <row r="228" spans="1:3" x14ac:dyDescent="0.3">
      <c r="A228" s="5">
        <v>1.5329999999999999</v>
      </c>
      <c r="B228" s="5">
        <v>1</v>
      </c>
      <c r="C228" s="5">
        <v>1.5329999999999999</v>
      </c>
    </row>
    <row r="229" spans="1:3" x14ac:dyDescent="0.3">
      <c r="A229" s="5">
        <v>4.1150000000000002</v>
      </c>
      <c r="B229" s="5">
        <v>3</v>
      </c>
      <c r="C229" s="5">
        <v>1.3716666666666668</v>
      </c>
    </row>
    <row r="230" spans="1:3" x14ac:dyDescent="0.3">
      <c r="A230" s="5">
        <v>6.4580000000000002</v>
      </c>
      <c r="B230" s="5">
        <v>4</v>
      </c>
      <c r="C230" s="6">
        <v>1.6145</v>
      </c>
    </row>
    <row r="231" spans="1:3" x14ac:dyDescent="0.3">
      <c r="A231" s="5">
        <v>9.1440000000000001</v>
      </c>
      <c r="B231" s="5">
        <v>6</v>
      </c>
      <c r="C231" s="5">
        <v>1.524</v>
      </c>
    </row>
    <row r="232" spans="1:3" x14ac:dyDescent="0.3">
      <c r="A232" s="5">
        <v>7.5890000000000004</v>
      </c>
      <c r="B232" s="5">
        <v>5</v>
      </c>
      <c r="C232" s="5">
        <v>1.5178</v>
      </c>
    </row>
    <row r="233" spans="1:3" x14ac:dyDescent="0.3">
      <c r="A233" s="5">
        <v>1.488</v>
      </c>
      <c r="B233" s="5">
        <v>1</v>
      </c>
      <c r="C233" s="5">
        <v>1.488</v>
      </c>
    </row>
    <row r="234" spans="1:3" x14ac:dyDescent="0.3">
      <c r="A234" s="5">
        <v>6.7009999999999996</v>
      </c>
      <c r="B234" s="5">
        <v>4</v>
      </c>
      <c r="C234" s="5">
        <v>1.6752499999999999</v>
      </c>
    </row>
    <row r="235" spans="1:3" x14ac:dyDescent="0.3">
      <c r="A235" s="5">
        <v>1.534</v>
      </c>
      <c r="B235" s="5">
        <v>1</v>
      </c>
      <c r="C235" s="5">
        <v>1.534</v>
      </c>
    </row>
    <row r="236" spans="1:3" x14ac:dyDescent="0.3">
      <c r="A236" s="5">
        <v>6.6</v>
      </c>
      <c r="B236" s="5">
        <v>4</v>
      </c>
      <c r="C236" s="5">
        <v>1.65</v>
      </c>
    </row>
    <row r="237" spans="1:3" x14ac:dyDescent="0.3">
      <c r="A237" s="5">
        <v>3.4860000000000002</v>
      </c>
      <c r="B237" s="5">
        <v>2</v>
      </c>
      <c r="C237" s="5">
        <v>1.7430000000000001</v>
      </c>
    </row>
    <row r="238" spans="1:3" x14ac:dyDescent="0.3">
      <c r="A238" s="5">
        <v>6.1639999999999997</v>
      </c>
      <c r="B238" s="5">
        <v>4</v>
      </c>
      <c r="C238" s="5">
        <v>1.5409999999999999</v>
      </c>
    </row>
    <row r="239" spans="1:3" x14ac:dyDescent="0.3">
      <c r="A239" s="5">
        <v>9.7360000000000007</v>
      </c>
      <c r="B239" s="5">
        <v>6</v>
      </c>
      <c r="C239" s="6">
        <v>1.6226666666666667</v>
      </c>
    </row>
    <row r="240" spans="1:3" x14ac:dyDescent="0.3">
      <c r="A240" s="5">
        <v>4.6429999999999998</v>
      </c>
      <c r="B240" s="5">
        <v>3</v>
      </c>
      <c r="C240" s="5">
        <v>1.5476666666666665</v>
      </c>
    </row>
    <row r="241" spans="1:3" x14ac:dyDescent="0.3">
      <c r="A241" s="5">
        <v>3.1139999999999999</v>
      </c>
      <c r="B241" s="5">
        <v>2</v>
      </c>
      <c r="C241" s="5">
        <v>1.5569999999999999</v>
      </c>
    </row>
    <row r="242" spans="1:3" x14ac:dyDescent="0.3">
      <c r="A242" s="5">
        <v>4.6619999999999999</v>
      </c>
      <c r="B242" s="5">
        <v>3</v>
      </c>
      <c r="C242" s="5">
        <v>1.554</v>
      </c>
    </row>
    <row r="243" spans="1:3" x14ac:dyDescent="0.3">
      <c r="A243" s="5">
        <v>17.239000000000001</v>
      </c>
      <c r="B243" s="5">
        <v>11</v>
      </c>
      <c r="C243" s="5">
        <v>1.5671818181818182</v>
      </c>
    </row>
    <row r="244" spans="1:3" x14ac:dyDescent="0.3">
      <c r="A244" s="5">
        <v>18.931999999999999</v>
      </c>
      <c r="B244" s="5">
        <v>12</v>
      </c>
      <c r="C244" s="5">
        <v>1.5776666666666666</v>
      </c>
    </row>
    <row r="245" spans="1:3" x14ac:dyDescent="0.3">
      <c r="A245" s="5">
        <v>15.311</v>
      </c>
      <c r="B245" s="5">
        <v>10</v>
      </c>
      <c r="C245" s="5">
        <v>1.5310999999999999</v>
      </c>
    </row>
    <row r="246" spans="1:3" x14ac:dyDescent="0.3">
      <c r="A246" s="5">
        <v>6.2140000000000004</v>
      </c>
      <c r="B246" s="5">
        <v>4</v>
      </c>
      <c r="C246" s="5">
        <v>1.5535000000000001</v>
      </c>
    </row>
    <row r="247" spans="1:3" x14ac:dyDescent="0.3">
      <c r="A247" s="5">
        <v>7.4009999999999998</v>
      </c>
      <c r="B247" s="5">
        <v>5</v>
      </c>
      <c r="C247" s="5">
        <v>1.4802</v>
      </c>
    </row>
    <row r="248" spans="1:3" x14ac:dyDescent="0.3">
      <c r="A248" s="5">
        <v>4.6340000000000003</v>
      </c>
      <c r="B248" s="5">
        <v>3</v>
      </c>
      <c r="C248" s="5">
        <v>1.5446666666666669</v>
      </c>
    </row>
    <row r="249" spans="1:3" x14ac:dyDescent="0.3">
      <c r="A249" s="5">
        <v>7.5369999999999999</v>
      </c>
      <c r="B249" s="5">
        <v>5</v>
      </c>
      <c r="C249" s="5">
        <v>1.5074000000000001</v>
      </c>
    </row>
    <row r="250" spans="1:3" x14ac:dyDescent="0.3">
      <c r="A250" s="5">
        <v>1.0244</v>
      </c>
      <c r="B250" s="5">
        <v>1</v>
      </c>
      <c r="C250" s="5">
        <v>1.0244</v>
      </c>
    </row>
    <row r="251" spans="1:3" x14ac:dyDescent="0.3">
      <c r="A251" s="5">
        <v>5.9</v>
      </c>
      <c r="B251" s="5">
        <v>4</v>
      </c>
      <c r="C251" s="5">
        <v>1.4750000000000001</v>
      </c>
    </row>
    <row r="252" spans="1:3" x14ac:dyDescent="0.3">
      <c r="A252" s="5">
        <v>4.49</v>
      </c>
      <c r="B252" s="5">
        <v>3</v>
      </c>
      <c r="C252" s="5">
        <v>1.4966666666666668</v>
      </c>
    </row>
    <row r="253" spans="1:3" x14ac:dyDescent="0.3">
      <c r="A253" s="5">
        <v>3.8370000000000002</v>
      </c>
      <c r="B253" s="5">
        <v>2</v>
      </c>
      <c r="C253" s="5">
        <v>1.9185000000000001</v>
      </c>
    </row>
    <row r="254" spans="1:3" x14ac:dyDescent="0.3">
      <c r="A254" s="5">
        <v>4.968</v>
      </c>
      <c r="B254" s="5">
        <v>3</v>
      </c>
      <c r="C254" s="5">
        <v>1.6559999999999999</v>
      </c>
    </row>
    <row r="255" spans="1:3" x14ac:dyDescent="0.3">
      <c r="A255" s="5">
        <v>4.8849999999999998</v>
      </c>
      <c r="B255" s="5">
        <v>3</v>
      </c>
      <c r="C255" s="6">
        <v>1.6283333333333332</v>
      </c>
    </row>
    <row r="256" spans="1:3" x14ac:dyDescent="0.3">
      <c r="A256" s="5">
        <v>6.1790000000000003</v>
      </c>
      <c r="B256" s="5">
        <v>4</v>
      </c>
      <c r="C256" s="5">
        <v>1.5447500000000001</v>
      </c>
    </row>
    <row r="257" spans="1:3" x14ac:dyDescent="0.3">
      <c r="A257" s="5">
        <v>4.9509999999999996</v>
      </c>
      <c r="B257" s="5">
        <v>3</v>
      </c>
      <c r="C257" s="5">
        <v>1.6503333333333332</v>
      </c>
    </row>
    <row r="258" spans="1:3" x14ac:dyDescent="0.3">
      <c r="A258" s="5">
        <v>11.14</v>
      </c>
      <c r="B258" s="5">
        <v>7</v>
      </c>
      <c r="C258" s="5">
        <v>1.5914285714285714</v>
      </c>
    </row>
    <row r="259" spans="1:3" x14ac:dyDescent="0.3">
      <c r="A259" s="5">
        <v>4.569</v>
      </c>
      <c r="B259" s="5">
        <v>3</v>
      </c>
      <c r="C259" s="5">
        <v>1.5229999999999999</v>
      </c>
    </row>
    <row r="260" spans="1:3" x14ac:dyDescent="0.3">
      <c r="A260" s="5">
        <v>3.0470000000000002</v>
      </c>
      <c r="B260" s="5">
        <v>2</v>
      </c>
      <c r="C260" s="5">
        <v>1.5235000000000001</v>
      </c>
    </row>
    <row r="261" spans="1:3" x14ac:dyDescent="0.3">
      <c r="A261" s="5">
        <v>1.5469999999999999</v>
      </c>
      <c r="B261" s="5">
        <v>1</v>
      </c>
      <c r="C261" s="5">
        <v>1.5469999999999999</v>
      </c>
    </row>
    <row r="262" spans="1:3" x14ac:dyDescent="0.3">
      <c r="A262" s="5">
        <v>3.0219999999999998</v>
      </c>
      <c r="B262" s="5">
        <v>2</v>
      </c>
      <c r="C262" s="5">
        <v>1.5109999999999999</v>
      </c>
    </row>
    <row r="263" spans="1:3" x14ac:dyDescent="0.3">
      <c r="A263" s="5">
        <v>3.0379999999999998</v>
      </c>
      <c r="B263" s="5">
        <v>2</v>
      </c>
      <c r="C263" s="5">
        <v>1.5189999999999999</v>
      </c>
    </row>
    <row r="264" spans="1:3" x14ac:dyDescent="0.3">
      <c r="A264" s="5">
        <v>1.5029999999999999</v>
      </c>
      <c r="B264" s="5">
        <v>1</v>
      </c>
      <c r="C264" s="5">
        <v>1.5029999999999999</v>
      </c>
    </row>
    <row r="265" spans="1:3" x14ac:dyDescent="0.3">
      <c r="A265" s="5">
        <v>8.2910000000000004</v>
      </c>
      <c r="B265" s="5">
        <v>5</v>
      </c>
      <c r="C265" s="5">
        <v>1.6582000000000001</v>
      </c>
    </row>
    <row r="266" spans="1:3" x14ac:dyDescent="0.3">
      <c r="A266" s="5">
        <v>9.6059999999999999</v>
      </c>
      <c r="B266" s="5">
        <v>6</v>
      </c>
      <c r="C266" s="6">
        <v>1.601</v>
      </c>
    </row>
    <row r="267" spans="1:3" x14ac:dyDescent="0.3">
      <c r="A267" s="5">
        <v>1.6140000000000001</v>
      </c>
      <c r="B267" s="5">
        <v>1</v>
      </c>
      <c r="C267" s="6">
        <v>1.6140000000000001</v>
      </c>
    </row>
    <row r="268" spans="1:3" x14ac:dyDescent="0.3">
      <c r="A268" s="5">
        <v>3.1070000000000002</v>
      </c>
      <c r="B268" s="5">
        <v>2</v>
      </c>
      <c r="C268" s="5">
        <v>1.5535000000000001</v>
      </c>
    </row>
    <row r="269" spans="1:3" x14ac:dyDescent="0.3">
      <c r="A269" s="5">
        <v>3.1589999999999998</v>
      </c>
      <c r="B269" s="5">
        <v>2</v>
      </c>
      <c r="C269" s="5">
        <v>1.5794999999999999</v>
      </c>
    </row>
    <row r="270" spans="1:3" x14ac:dyDescent="0.3">
      <c r="A270" s="5">
        <v>12.6</v>
      </c>
      <c r="B270" s="5">
        <v>8</v>
      </c>
      <c r="C270" s="5">
        <v>1.575</v>
      </c>
    </row>
    <row r="271" spans="1:3" x14ac:dyDescent="0.3">
      <c r="A271" s="5">
        <v>3.052</v>
      </c>
      <c r="B271" s="5">
        <v>2</v>
      </c>
      <c r="C271" s="5">
        <v>1.526</v>
      </c>
    </row>
    <row r="272" spans="1:3" x14ac:dyDescent="0.3">
      <c r="A272" s="5">
        <v>1.5129999999999999</v>
      </c>
      <c r="B272" s="5">
        <v>1</v>
      </c>
      <c r="C272" s="5">
        <v>1.5129999999999999</v>
      </c>
    </row>
    <row r="273" spans="1:3" x14ac:dyDescent="0.3">
      <c r="A273" s="5">
        <v>3.1120000000000001</v>
      </c>
      <c r="B273" s="5">
        <v>2</v>
      </c>
      <c r="C273" s="5">
        <v>1.556</v>
      </c>
    </row>
    <row r="274" spans="1:3" x14ac:dyDescent="0.3">
      <c r="A274" s="5">
        <v>1.5780000000000001</v>
      </c>
      <c r="B274" s="5">
        <v>1</v>
      </c>
      <c r="C274" s="5">
        <v>1.5780000000000001</v>
      </c>
    </row>
    <row r="275" spans="1:3" x14ac:dyDescent="0.3">
      <c r="A275" s="5">
        <v>1.5629999999999999</v>
      </c>
      <c r="B275" s="5">
        <v>1</v>
      </c>
      <c r="C275" s="5">
        <v>1.5629999999999999</v>
      </c>
    </row>
    <row r="276" spans="1:3" x14ac:dyDescent="0.3">
      <c r="A276" s="5">
        <v>6.1529999999999996</v>
      </c>
      <c r="B276" s="5">
        <v>4</v>
      </c>
      <c r="C276" s="5">
        <v>1.5382499999999999</v>
      </c>
    </row>
    <row r="277" spans="1:3" x14ac:dyDescent="0.3">
      <c r="A277" s="5">
        <v>1.5649999999999999</v>
      </c>
      <c r="B277" s="5">
        <v>1</v>
      </c>
      <c r="C277" s="5">
        <v>1.5649999999999999</v>
      </c>
    </row>
    <row r="278" spans="1:3" x14ac:dyDescent="0.3">
      <c r="A278" s="5">
        <v>4.68</v>
      </c>
      <c r="B278" s="5">
        <v>3</v>
      </c>
      <c r="C278" s="5">
        <v>1.5599999999999998</v>
      </c>
    </row>
    <row r="279" spans="1:3" x14ac:dyDescent="0.3">
      <c r="A279" s="5">
        <v>10.991</v>
      </c>
      <c r="B279" s="5">
        <v>7</v>
      </c>
      <c r="C279" s="5">
        <v>1.5701428571428571</v>
      </c>
    </row>
    <row r="280" spans="1:3" x14ac:dyDescent="0.3">
      <c r="A280" s="5">
        <v>4.5830000000000002</v>
      </c>
      <c r="B280" s="5">
        <v>3</v>
      </c>
      <c r="C280" s="5">
        <v>1.5276666666666667</v>
      </c>
    </row>
    <row r="281" spans="1:3" x14ac:dyDescent="0.3">
      <c r="A281" s="5">
        <v>4.6859999999999999</v>
      </c>
      <c r="B281" s="5">
        <v>3</v>
      </c>
      <c r="C281" s="5">
        <v>1.5620000000000001</v>
      </c>
    </row>
    <row r="282" spans="1:3" x14ac:dyDescent="0.3">
      <c r="A282" s="5">
        <v>3.0790000000000002</v>
      </c>
      <c r="B282" s="5">
        <v>2</v>
      </c>
      <c r="C282" s="5">
        <v>1.5395000000000001</v>
      </c>
    </row>
    <row r="283" spans="1:3" x14ac:dyDescent="0.3">
      <c r="A283" s="5">
        <v>3.2149999999999999</v>
      </c>
      <c r="B283" s="5">
        <v>2</v>
      </c>
      <c r="C283" s="6">
        <v>1.6074999999999999</v>
      </c>
    </row>
    <row r="284" spans="1:3" x14ac:dyDescent="0.3">
      <c r="A284" s="5">
        <v>3.04</v>
      </c>
      <c r="B284" s="5">
        <v>2</v>
      </c>
      <c r="C284" s="5">
        <v>1.52</v>
      </c>
    </row>
    <row r="285" spans="1:3" x14ac:dyDescent="0.3">
      <c r="A285" s="5">
        <v>14.523</v>
      </c>
      <c r="B285" s="5">
        <v>9</v>
      </c>
      <c r="C285" s="6">
        <v>1.6136666666666666</v>
      </c>
    </row>
    <row r="286" spans="1:3" x14ac:dyDescent="0.3">
      <c r="A286" s="5">
        <v>7.8849999999999998</v>
      </c>
      <c r="B286" s="5">
        <v>5</v>
      </c>
      <c r="C286" s="5">
        <v>1.577</v>
      </c>
    </row>
    <row r="287" spans="1:3" x14ac:dyDescent="0.3">
      <c r="A287" s="5">
        <v>3.1070000000000002</v>
      </c>
      <c r="B287" s="5">
        <v>2</v>
      </c>
      <c r="C287" s="5">
        <v>1.5535000000000001</v>
      </c>
    </row>
    <row r="288" spans="1:3" x14ac:dyDescent="0.3">
      <c r="A288" s="5">
        <v>3.16</v>
      </c>
      <c r="B288" s="5">
        <v>2</v>
      </c>
      <c r="C288" s="6">
        <v>1.58</v>
      </c>
    </row>
    <row r="289" spans="1:3" x14ac:dyDescent="0.3">
      <c r="A289" s="5">
        <v>3.085</v>
      </c>
      <c r="B289" s="5">
        <v>2</v>
      </c>
      <c r="C289" s="5">
        <v>1.5425</v>
      </c>
    </row>
    <row r="290" spans="1:3" x14ac:dyDescent="0.3">
      <c r="A290" s="5">
        <v>10.73</v>
      </c>
      <c r="B290" s="5">
        <v>7</v>
      </c>
      <c r="C290" s="5">
        <v>1.5328571428571429</v>
      </c>
    </row>
    <row r="291" spans="1:3" x14ac:dyDescent="0.3">
      <c r="A291" s="5">
        <v>1.6</v>
      </c>
      <c r="B291" s="5">
        <v>1</v>
      </c>
      <c r="C291" s="6">
        <v>1.6</v>
      </c>
    </row>
    <row r="292" spans="1:3" x14ac:dyDescent="0.3">
      <c r="A292" s="5">
        <v>4.5860000000000003</v>
      </c>
      <c r="B292" s="5">
        <v>3</v>
      </c>
      <c r="C292" s="5">
        <v>1.5286666666666668</v>
      </c>
    </row>
    <row r="293" spans="1:3" x14ac:dyDescent="0.3">
      <c r="A293" s="5">
        <v>4.4710000000000001</v>
      </c>
      <c r="B293" s="5">
        <v>3</v>
      </c>
      <c r="C293" s="5">
        <v>1.4903333333333333</v>
      </c>
    </row>
    <row r="294" spans="1:3" x14ac:dyDescent="0.3">
      <c r="A294" s="5">
        <v>13.614000000000001</v>
      </c>
      <c r="B294" s="5">
        <v>9</v>
      </c>
      <c r="C294" s="5">
        <v>1.5126666666666668</v>
      </c>
    </row>
    <row r="295" spans="1:3" x14ac:dyDescent="0.3">
      <c r="A295" s="5">
        <v>83.1</v>
      </c>
      <c r="B295" s="5">
        <v>52</v>
      </c>
      <c r="C295" s="6">
        <v>1.598076923076923</v>
      </c>
    </row>
    <row r="296" spans="1:3" x14ac:dyDescent="0.3">
      <c r="A296" s="5">
        <v>6.4109999999999996</v>
      </c>
      <c r="B296" s="5">
        <v>4</v>
      </c>
      <c r="C296" s="6">
        <v>1.6027499999999999</v>
      </c>
    </row>
    <row r="297" spans="1:3" x14ac:dyDescent="0.3">
      <c r="A297" s="5">
        <v>23.33</v>
      </c>
      <c r="B297" s="5">
        <v>15</v>
      </c>
      <c r="C297" s="5">
        <v>1.5553333333333332</v>
      </c>
    </row>
    <row r="298" spans="1:3" x14ac:dyDescent="0.3">
      <c r="A298" s="5">
        <v>15.207000000000001</v>
      </c>
      <c r="B298" s="5">
        <v>10</v>
      </c>
      <c r="C298" s="5">
        <v>1.5207000000000002</v>
      </c>
    </row>
    <row r="299" spans="1:3" x14ac:dyDescent="0.3">
      <c r="A299" s="5">
        <v>17.306000000000001</v>
      </c>
      <c r="B299" s="5">
        <v>11</v>
      </c>
      <c r="C299" s="5">
        <v>1.5732727272727274</v>
      </c>
    </row>
    <row r="300" spans="1:3" x14ac:dyDescent="0.3">
      <c r="A300" s="5">
        <v>66.736000000000004</v>
      </c>
      <c r="B300" s="5">
        <v>42</v>
      </c>
      <c r="C300" s="6">
        <v>1.5889523809523811</v>
      </c>
    </row>
    <row r="301" spans="1:3" x14ac:dyDescent="0.3">
      <c r="A301" s="5">
        <v>17.471</v>
      </c>
      <c r="B301" s="5">
        <v>11</v>
      </c>
      <c r="C301" s="6">
        <v>1.5882727272727273</v>
      </c>
    </row>
    <row r="302" spans="1:3" x14ac:dyDescent="0.3">
      <c r="A302" s="5">
        <v>6.2839999999999998</v>
      </c>
      <c r="B302" s="5">
        <v>4</v>
      </c>
      <c r="C302" s="5">
        <v>1.571</v>
      </c>
    </row>
    <row r="303" spans="1:3" x14ac:dyDescent="0.3">
      <c r="A303" s="5">
        <v>24.004000000000001</v>
      </c>
      <c r="B303" s="5">
        <v>15</v>
      </c>
      <c r="C303" s="6">
        <v>1.6002666666666667</v>
      </c>
    </row>
    <row r="304" spans="1:3" x14ac:dyDescent="0.3">
      <c r="A304" s="5">
        <v>21.032</v>
      </c>
      <c r="B304" s="5">
        <v>13</v>
      </c>
      <c r="C304" s="6">
        <v>1.6178461538461539</v>
      </c>
    </row>
    <row r="305" spans="1:3" x14ac:dyDescent="0.3">
      <c r="A305" s="5">
        <v>4.5309999999999997</v>
      </c>
      <c r="B305" s="5">
        <v>3</v>
      </c>
      <c r="C305" s="5">
        <v>1.5103333333333333</v>
      </c>
    </row>
    <row r="306" spans="1:3" x14ac:dyDescent="0.3">
      <c r="A306" s="5">
        <v>3.0169999999999999</v>
      </c>
      <c r="B306" s="5">
        <v>2</v>
      </c>
      <c r="C306" s="5">
        <v>1.5085</v>
      </c>
    </row>
    <row r="307" spans="1:3" x14ac:dyDescent="0.3">
      <c r="A307" s="5">
        <v>11.680999999999999</v>
      </c>
      <c r="B307" s="5">
        <v>7</v>
      </c>
      <c r="C307" s="5">
        <v>1.6687142857142856</v>
      </c>
    </row>
    <row r="308" spans="1:3" x14ac:dyDescent="0.3">
      <c r="A308" s="5">
        <v>48.47</v>
      </c>
      <c r="B308" s="5">
        <v>30</v>
      </c>
      <c r="C308" s="6">
        <v>1.6156666666666666</v>
      </c>
    </row>
    <row r="309" spans="1:3" x14ac:dyDescent="0.3">
      <c r="A309" s="5">
        <v>40.884</v>
      </c>
      <c r="B309" s="5">
        <v>26</v>
      </c>
      <c r="C309" s="5">
        <v>1.5724615384615386</v>
      </c>
    </row>
    <row r="310" spans="1:3" x14ac:dyDescent="0.3">
      <c r="A310" s="5">
        <v>18.161999999999999</v>
      </c>
      <c r="B310" s="5">
        <v>11</v>
      </c>
      <c r="C310" s="5">
        <v>1.6510909090909089</v>
      </c>
    </row>
    <row r="311" spans="1:3" x14ac:dyDescent="0.3">
      <c r="A311" s="5">
        <v>17.28</v>
      </c>
      <c r="B311" s="5">
        <v>11</v>
      </c>
      <c r="C311" s="5">
        <v>1.570909090909091</v>
      </c>
    </row>
    <row r="312" spans="1:3" x14ac:dyDescent="0.3">
      <c r="A312" s="5">
        <v>16.742999999999999</v>
      </c>
      <c r="B312" s="5">
        <v>10</v>
      </c>
      <c r="C312" s="5">
        <v>1.6742999999999999</v>
      </c>
    </row>
    <row r="313" spans="1:3" x14ac:dyDescent="0.3">
      <c r="A313" s="5">
        <v>3.0449999999999999</v>
      </c>
      <c r="B313" s="5">
        <v>2</v>
      </c>
      <c r="C313" s="5">
        <v>1.5225</v>
      </c>
    </row>
    <row r="314" spans="1:3" x14ac:dyDescent="0.3">
      <c r="A314" s="5">
        <v>1.62</v>
      </c>
      <c r="B314" s="5">
        <v>1</v>
      </c>
      <c r="C314" s="6">
        <v>1.62</v>
      </c>
    </row>
    <row r="315" spans="1:3" x14ac:dyDescent="0.3">
      <c r="A315" s="5">
        <v>1.548</v>
      </c>
      <c r="B315" s="5">
        <v>1</v>
      </c>
      <c r="C315" s="5">
        <v>1.548</v>
      </c>
    </row>
    <row r="316" spans="1:3" x14ac:dyDescent="0.3">
      <c r="A316" s="5">
        <v>1.482</v>
      </c>
      <c r="B316" s="5">
        <v>1</v>
      </c>
      <c r="C316" s="5">
        <v>1.482</v>
      </c>
    </row>
    <row r="317" spans="1:3" x14ac:dyDescent="0.3">
      <c r="A317" s="5">
        <v>2.956</v>
      </c>
      <c r="B317" s="5">
        <v>2</v>
      </c>
      <c r="C317" s="5">
        <v>1.478</v>
      </c>
    </row>
    <row r="318" spans="1:3" x14ac:dyDescent="0.3">
      <c r="A318" s="5">
        <v>6.1269999999999998</v>
      </c>
      <c r="B318" s="5">
        <v>4</v>
      </c>
      <c r="C318" s="5">
        <v>1.5317499999999999</v>
      </c>
    </row>
    <row r="319" spans="1:3" x14ac:dyDescent="0.3">
      <c r="A319" s="5">
        <v>4.6890000000000001</v>
      </c>
      <c r="B319" s="5">
        <v>3</v>
      </c>
      <c r="C319" s="5">
        <v>1.5629999999999999</v>
      </c>
    </row>
    <row r="320" spans="1:3" x14ac:dyDescent="0.3">
      <c r="A320" s="5">
        <v>4.63</v>
      </c>
      <c r="B320" s="5">
        <v>3</v>
      </c>
      <c r="C320" s="5">
        <v>1.5433333333333332</v>
      </c>
    </row>
    <row r="321" spans="1:3" x14ac:dyDescent="0.3">
      <c r="A321" s="5">
        <v>1.5980000000000001</v>
      </c>
      <c r="B321" s="5">
        <v>1</v>
      </c>
      <c r="C321" s="6">
        <v>1.5980000000000001</v>
      </c>
    </row>
    <row r="322" spans="1:3" x14ac:dyDescent="0.3">
      <c r="A322" s="5">
        <v>1.5509999999999999</v>
      </c>
      <c r="B322" s="5">
        <v>1</v>
      </c>
      <c r="C322" s="5">
        <v>1.5509999999999999</v>
      </c>
    </row>
    <row r="323" spans="1:3" x14ac:dyDescent="0.3">
      <c r="A323" s="5">
        <v>1.5289999999999999</v>
      </c>
      <c r="B323" s="5">
        <v>1</v>
      </c>
      <c r="C323" s="5">
        <v>1.5289999999999999</v>
      </c>
    </row>
    <row r="324" spans="1:3" x14ac:dyDescent="0.3">
      <c r="A324" s="5">
        <v>9.3759999999999994</v>
      </c>
      <c r="B324" s="5">
        <v>6</v>
      </c>
      <c r="C324" s="5">
        <v>1.5626666666666666</v>
      </c>
    </row>
    <row r="325" spans="1:3" x14ac:dyDescent="0.3">
      <c r="A325" s="5">
        <v>6.3369999999999997</v>
      </c>
      <c r="B325" s="5">
        <v>4</v>
      </c>
      <c r="C325" s="6">
        <v>1.5842499999999999</v>
      </c>
    </row>
    <row r="326" spans="1:3" x14ac:dyDescent="0.3">
      <c r="A326" s="5">
        <v>2.9220000000000002</v>
      </c>
      <c r="B326" s="5">
        <v>2</v>
      </c>
      <c r="C326" s="5">
        <v>1.4610000000000001</v>
      </c>
    </row>
    <row r="327" spans="1:3" x14ac:dyDescent="0.3">
      <c r="A327" s="5">
        <v>20.65</v>
      </c>
      <c r="B327" s="5">
        <v>13</v>
      </c>
      <c r="C327" s="6">
        <v>1.5884615384615384</v>
      </c>
    </row>
    <row r="328" spans="1:3" x14ac:dyDescent="0.3">
      <c r="A328" s="5">
        <v>1.528</v>
      </c>
      <c r="B328" s="5">
        <v>1</v>
      </c>
      <c r="C328" s="5">
        <v>1.528</v>
      </c>
    </row>
    <row r="329" spans="1:3" x14ac:dyDescent="0.3">
      <c r="A329" s="5">
        <v>13.893000000000001</v>
      </c>
      <c r="B329" s="5">
        <v>9</v>
      </c>
      <c r="C329" s="5">
        <v>1.5436666666666667</v>
      </c>
    </row>
    <row r="330" spans="1:3" x14ac:dyDescent="0.3">
      <c r="A330" s="5">
        <v>1.5429999999999999</v>
      </c>
      <c r="B330" s="5">
        <v>1</v>
      </c>
      <c r="C330" s="5">
        <v>1.5429999999999999</v>
      </c>
    </row>
    <row r="331" spans="1:3" x14ac:dyDescent="0.3">
      <c r="A331" s="5">
        <v>6.3280000000000003</v>
      </c>
      <c r="B331" s="5">
        <v>4</v>
      </c>
      <c r="C331" s="5">
        <v>1.5820000000000001</v>
      </c>
    </row>
    <row r="332" spans="1:3" x14ac:dyDescent="0.3">
      <c r="A332" s="5">
        <v>4.5279999999999996</v>
      </c>
      <c r="B332" s="5">
        <v>3</v>
      </c>
      <c r="C332" s="5">
        <v>1.5093333333333332</v>
      </c>
    </row>
    <row r="333" spans="1:3" x14ac:dyDescent="0.3">
      <c r="A333" s="5">
        <v>1.498</v>
      </c>
      <c r="B333" s="5">
        <v>1</v>
      </c>
      <c r="C333" s="5">
        <v>1.498</v>
      </c>
    </row>
    <row r="334" spans="1:3" x14ac:dyDescent="0.3">
      <c r="A334" s="5">
        <v>1.8420000000000001</v>
      </c>
      <c r="B334" s="5">
        <v>1</v>
      </c>
      <c r="C334" s="5">
        <v>1.8420000000000001</v>
      </c>
    </row>
    <row r="335" spans="1:3" x14ac:dyDescent="0.3">
      <c r="A335" s="5">
        <v>6.5830000000000002</v>
      </c>
      <c r="B335" s="5">
        <v>4</v>
      </c>
      <c r="C335" s="5">
        <v>1.64575</v>
      </c>
    </row>
    <row r="336" spans="1:3" x14ac:dyDescent="0.3">
      <c r="A336" s="5">
        <v>6.4610000000000003</v>
      </c>
      <c r="B336" s="5">
        <v>4</v>
      </c>
      <c r="C336" s="6">
        <v>1.6152500000000001</v>
      </c>
    </row>
    <row r="337" spans="1:3" x14ac:dyDescent="0.3">
      <c r="A337" s="5">
        <v>1.6830000000000001</v>
      </c>
      <c r="B337" s="5">
        <v>1</v>
      </c>
      <c r="C337" s="5">
        <v>1.6830000000000001</v>
      </c>
    </row>
    <row r="338" spans="1:3" x14ac:dyDescent="0.3">
      <c r="A338" s="5">
        <v>5.9980000000000002</v>
      </c>
      <c r="B338" s="5">
        <v>4</v>
      </c>
      <c r="C338" s="5">
        <v>1.4995000000000001</v>
      </c>
    </row>
    <row r="339" spans="1:3" x14ac:dyDescent="0.3">
      <c r="A339" s="5">
        <v>1.5589999999999999</v>
      </c>
      <c r="B339" s="5">
        <v>1</v>
      </c>
      <c r="C339" s="5">
        <v>1.5589999999999999</v>
      </c>
    </row>
    <row r="340" spans="1:3" x14ac:dyDescent="0.3">
      <c r="A340" s="5">
        <v>5.8259999999999996</v>
      </c>
      <c r="B340" s="5">
        <v>4</v>
      </c>
      <c r="C340" s="5">
        <v>1.4564999999999999</v>
      </c>
    </row>
    <row r="341" spans="1:3" x14ac:dyDescent="0.3">
      <c r="A341" s="5">
        <v>1.43</v>
      </c>
      <c r="B341" s="5">
        <v>1</v>
      </c>
      <c r="C341" s="5">
        <v>1.43</v>
      </c>
    </row>
    <row r="342" spans="1:3" x14ac:dyDescent="0.3">
      <c r="A342" s="5">
        <v>3.08</v>
      </c>
      <c r="B342" s="5">
        <v>2</v>
      </c>
      <c r="C342" s="5">
        <v>1.54</v>
      </c>
    </row>
    <row r="343" spans="1:3" x14ac:dyDescent="0.3">
      <c r="A343" s="5">
        <v>6.6689999999999996</v>
      </c>
      <c r="B343" s="5">
        <v>4</v>
      </c>
      <c r="C343" s="5">
        <v>1.6672499999999999</v>
      </c>
    </row>
    <row r="344" spans="1:3" x14ac:dyDescent="0.3">
      <c r="A344" s="5">
        <v>11.587</v>
      </c>
      <c r="B344" s="5">
        <v>7</v>
      </c>
      <c r="C344" s="5">
        <v>1.6552857142857142</v>
      </c>
    </row>
    <row r="345" spans="1:3" x14ac:dyDescent="0.3">
      <c r="A345" s="5">
        <v>10.045999999999999</v>
      </c>
      <c r="B345" s="5">
        <v>6</v>
      </c>
      <c r="C345" s="5">
        <v>1.6743333333333332</v>
      </c>
    </row>
    <row r="346" spans="1:3" x14ac:dyDescent="0.3">
      <c r="A346" s="5">
        <v>10.321999999999999</v>
      </c>
      <c r="B346" s="5">
        <v>6</v>
      </c>
      <c r="C346" s="5">
        <v>1.7203333333333333</v>
      </c>
    </row>
    <row r="347" spans="1:3" x14ac:dyDescent="0.3">
      <c r="A347" s="5">
        <v>7.18</v>
      </c>
      <c r="B347" s="5">
        <v>4</v>
      </c>
      <c r="C347" s="5">
        <v>1.7949999999999999</v>
      </c>
    </row>
    <row r="348" spans="1:3" x14ac:dyDescent="0.3">
      <c r="A348" s="5">
        <v>15.795999999999999</v>
      </c>
      <c r="B348" s="5">
        <v>10</v>
      </c>
      <c r="C348" s="5">
        <v>1.5795999999999999</v>
      </c>
    </row>
    <row r="349" spans="1:3" x14ac:dyDescent="0.3">
      <c r="A349" s="5">
        <v>2.9020000000000001</v>
      </c>
      <c r="B349" s="5">
        <v>2</v>
      </c>
      <c r="C349" s="5">
        <v>1.4510000000000001</v>
      </c>
    </row>
    <row r="350" spans="1:3" x14ac:dyDescent="0.3">
      <c r="A350" s="5">
        <v>6.0330000000000004</v>
      </c>
      <c r="B350" s="5">
        <v>4</v>
      </c>
      <c r="C350" s="5">
        <v>1.5082500000000001</v>
      </c>
    </row>
    <row r="351" spans="1:3" x14ac:dyDescent="0.3">
      <c r="A351" s="5">
        <v>29.539000000000001</v>
      </c>
      <c r="B351" s="5">
        <v>18</v>
      </c>
      <c r="C351" s="5">
        <v>1.6410555555555557</v>
      </c>
    </row>
    <row r="352" spans="1:3" x14ac:dyDescent="0.3">
      <c r="A352" s="5">
        <v>24.009</v>
      </c>
      <c r="B352" s="5">
        <v>15</v>
      </c>
      <c r="C352" s="6">
        <v>1.6006</v>
      </c>
    </row>
    <row r="353" spans="1:3" x14ac:dyDescent="0.3">
      <c r="A353" s="5">
        <v>2.97</v>
      </c>
      <c r="B353" s="5">
        <v>2</v>
      </c>
      <c r="C353" s="5">
        <v>1.4850000000000001</v>
      </c>
    </row>
    <row r="354" spans="1:3" x14ac:dyDescent="0.3">
      <c r="A354" s="5">
        <v>1.452</v>
      </c>
      <c r="B354" s="5">
        <v>1</v>
      </c>
      <c r="C354" s="5">
        <v>1.452</v>
      </c>
    </row>
    <row r="355" spans="1:3" x14ac:dyDescent="0.3">
      <c r="A355" s="5">
        <v>1.4690000000000001</v>
      </c>
      <c r="B355" s="5">
        <v>1</v>
      </c>
      <c r="C355" s="5">
        <v>1.4690000000000001</v>
      </c>
    </row>
    <row r="356" spans="1:3" x14ac:dyDescent="0.3">
      <c r="A356" s="5">
        <v>7.4459999999999997</v>
      </c>
      <c r="B356" s="5">
        <v>5</v>
      </c>
      <c r="C356" s="5">
        <v>1.4891999999999999</v>
      </c>
    </row>
    <row r="357" spans="1:3" x14ac:dyDescent="0.3">
      <c r="A357" s="5">
        <v>1.488</v>
      </c>
      <c r="B357" s="5">
        <v>1</v>
      </c>
      <c r="C357" s="5">
        <v>1.488</v>
      </c>
    </row>
    <row r="358" spans="1:3" x14ac:dyDescent="0.3">
      <c r="A358" s="5">
        <v>9.3170000000000002</v>
      </c>
      <c r="B358" s="5">
        <v>6</v>
      </c>
      <c r="C358" s="5">
        <v>1.5528333333333333</v>
      </c>
    </row>
    <row r="359" spans="1:3" x14ac:dyDescent="0.3">
      <c r="A359" s="5">
        <v>11.003</v>
      </c>
      <c r="B359" s="5">
        <v>7</v>
      </c>
      <c r="C359" s="5">
        <v>1.5718571428571428</v>
      </c>
    </row>
    <row r="360" spans="1:3" x14ac:dyDescent="0.3">
      <c r="A360" s="5">
        <v>3.081</v>
      </c>
      <c r="B360" s="5">
        <v>2</v>
      </c>
      <c r="C360" s="5">
        <v>1.5405</v>
      </c>
    </row>
    <row r="361" spans="1:3" x14ac:dyDescent="0.3">
      <c r="A361" s="5">
        <v>7.766</v>
      </c>
      <c r="B361" s="5">
        <v>5</v>
      </c>
      <c r="C361" s="5">
        <v>1.5531999999999999</v>
      </c>
    </row>
    <row r="362" spans="1:3" x14ac:dyDescent="0.3">
      <c r="A362" s="5">
        <v>3.1120000000000001</v>
      </c>
      <c r="B362" s="5">
        <v>2</v>
      </c>
      <c r="C362" s="5">
        <v>1.556</v>
      </c>
    </row>
    <row r="363" spans="1:3" x14ac:dyDescent="0.3">
      <c r="A363" s="5">
        <v>9.4499999999999993</v>
      </c>
      <c r="B363" s="5">
        <v>6</v>
      </c>
      <c r="C363" s="5">
        <v>1.575</v>
      </c>
    </row>
    <row r="364" spans="1:3" x14ac:dyDescent="0.3">
      <c r="A364" s="5">
        <v>9.2769999999999992</v>
      </c>
      <c r="B364" s="5">
        <v>6</v>
      </c>
      <c r="C364" s="5">
        <v>1.5461666666666665</v>
      </c>
    </row>
    <row r="365" spans="1:3" x14ac:dyDescent="0.3">
      <c r="A365" s="5">
        <v>4.6890000000000001</v>
      </c>
      <c r="B365" s="5">
        <v>3</v>
      </c>
      <c r="C365" s="5">
        <v>1.5629999999999999</v>
      </c>
    </row>
    <row r="366" spans="1:3" x14ac:dyDescent="0.3">
      <c r="A366" s="5">
        <v>4.6760000000000002</v>
      </c>
      <c r="B366" s="5">
        <v>3</v>
      </c>
      <c r="C366" s="5">
        <v>1.5586666666666666</v>
      </c>
    </row>
    <row r="367" spans="1:3" x14ac:dyDescent="0.3">
      <c r="A367" s="5">
        <v>4.7709999999999999</v>
      </c>
      <c r="B367" s="5">
        <v>3</v>
      </c>
      <c r="C367" s="6">
        <v>1.5903333333333334</v>
      </c>
    </row>
    <row r="368" spans="1:3" x14ac:dyDescent="0.3">
      <c r="A368" s="5">
        <v>6.2560000000000002</v>
      </c>
      <c r="B368" s="5">
        <v>4</v>
      </c>
      <c r="C368" s="5">
        <v>1.5640000000000001</v>
      </c>
    </row>
    <row r="369" spans="1:3" x14ac:dyDescent="0.3">
      <c r="A369" s="5">
        <v>7.7050000000000001</v>
      </c>
      <c r="B369" s="5">
        <v>5</v>
      </c>
      <c r="C369" s="5">
        <v>1.5409999999999999</v>
      </c>
    </row>
    <row r="370" spans="1:3" x14ac:dyDescent="0.3">
      <c r="A370" s="5">
        <v>16.904</v>
      </c>
      <c r="B370" s="5">
        <v>11</v>
      </c>
      <c r="C370" s="5">
        <v>1.5367272727272727</v>
      </c>
    </row>
    <row r="371" spans="1:3" x14ac:dyDescent="0.3">
      <c r="A371" s="5">
        <v>7.726</v>
      </c>
      <c r="B371" s="5">
        <v>5</v>
      </c>
      <c r="C371" s="5">
        <v>1.5451999999999999</v>
      </c>
    </row>
    <row r="372" spans="1:3" x14ac:dyDescent="0.3">
      <c r="A372" s="5">
        <v>6.12</v>
      </c>
      <c r="B372" s="5">
        <v>4</v>
      </c>
      <c r="C372" s="5">
        <v>1.53</v>
      </c>
    </row>
    <row r="373" spans="1:3" x14ac:dyDescent="0.3">
      <c r="A373" s="5">
        <v>3.1110000000000002</v>
      </c>
      <c r="B373" s="5">
        <v>2</v>
      </c>
      <c r="C373" s="5">
        <v>1.5555000000000001</v>
      </c>
    </row>
    <row r="374" spans="1:3" x14ac:dyDescent="0.3">
      <c r="A374" s="5">
        <v>12.191000000000001</v>
      </c>
      <c r="B374" s="5">
        <v>8</v>
      </c>
      <c r="C374" s="5">
        <v>1.5238750000000001</v>
      </c>
    </row>
    <row r="375" spans="1:3" x14ac:dyDescent="0.3">
      <c r="A375" s="5">
        <v>11.201000000000001</v>
      </c>
      <c r="B375" s="5">
        <v>7</v>
      </c>
      <c r="C375" s="6">
        <v>1.6001428571428573</v>
      </c>
    </row>
    <row r="376" spans="1:3" x14ac:dyDescent="0.3">
      <c r="A376" s="5">
        <v>14.706</v>
      </c>
      <c r="B376" s="5">
        <v>9</v>
      </c>
      <c r="C376" s="5">
        <v>1.6339999999999999</v>
      </c>
    </row>
    <row r="377" spans="1:3" x14ac:dyDescent="0.3">
      <c r="A377" s="5">
        <v>16.581</v>
      </c>
      <c r="B377" s="5">
        <v>10</v>
      </c>
      <c r="C377" s="5">
        <v>1.6580999999999999</v>
      </c>
    </row>
    <row r="378" spans="1:3" x14ac:dyDescent="0.3">
      <c r="A378" s="5">
        <v>4.9610000000000003</v>
      </c>
      <c r="B378" s="5">
        <v>3</v>
      </c>
      <c r="C378" s="5">
        <v>1.6536666666666668</v>
      </c>
    </row>
    <row r="379" spans="1:3" x14ac:dyDescent="0.3">
      <c r="A379" s="5">
        <v>6.2279999999999998</v>
      </c>
      <c r="B379" s="5">
        <v>4</v>
      </c>
      <c r="C379" s="5">
        <v>1.5569999999999999</v>
      </c>
    </row>
    <row r="380" spans="1:3" x14ac:dyDescent="0.3">
      <c r="A380" s="5">
        <v>21.001000000000001</v>
      </c>
      <c r="B380" s="5">
        <v>13</v>
      </c>
      <c r="C380" s="6">
        <v>1.6154615384615385</v>
      </c>
    </row>
    <row r="381" spans="1:3" x14ac:dyDescent="0.3">
      <c r="A381" s="5">
        <v>9.2230000000000008</v>
      </c>
      <c r="B381" s="5">
        <v>6</v>
      </c>
      <c r="C381" s="5">
        <v>1.5371666666666668</v>
      </c>
    </row>
    <row r="382" spans="1:3" x14ac:dyDescent="0.3">
      <c r="A382" s="5">
        <v>2.4900000000000002</v>
      </c>
      <c r="B382" s="5">
        <v>2</v>
      </c>
      <c r="C382" s="5">
        <v>1.2450000000000001</v>
      </c>
    </row>
    <row r="383" spans="1:3" x14ac:dyDescent="0.3">
      <c r="A383" s="5">
        <v>10.381</v>
      </c>
      <c r="B383" s="5">
        <v>6</v>
      </c>
      <c r="C383" s="5">
        <v>1.7301666666666666</v>
      </c>
    </row>
    <row r="384" spans="1:3" x14ac:dyDescent="0.3">
      <c r="A384" s="5">
        <v>21.954999999999998</v>
      </c>
      <c r="B384" s="5">
        <v>14</v>
      </c>
      <c r="C384" s="5">
        <v>1.5682142857142856</v>
      </c>
    </row>
    <row r="385" spans="1:3" x14ac:dyDescent="0.3">
      <c r="A385" s="5">
        <v>5.032</v>
      </c>
      <c r="B385" s="5">
        <v>3</v>
      </c>
      <c r="C385" s="5">
        <v>1.6773333333333333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1C8B0-3783-484C-90AB-E05A7BD36A63}">
  <dimension ref="A1:B6"/>
  <sheetViews>
    <sheetView workbookViewId="0">
      <selection activeCell="B7" sqref="B7"/>
    </sheetView>
  </sheetViews>
  <sheetFormatPr defaultRowHeight="14" x14ac:dyDescent="0.3"/>
  <sheetData>
    <row r="1" spans="1:2" x14ac:dyDescent="0.3">
      <c r="A1" t="s">
        <v>4</v>
      </c>
      <c r="B1" t="s">
        <v>5</v>
      </c>
    </row>
    <row r="2" spans="1:2" x14ac:dyDescent="0.3">
      <c r="A2">
        <v>266</v>
      </c>
      <c r="B2">
        <v>0.6</v>
      </c>
    </row>
    <row r="3" spans="1:2" x14ac:dyDescent="0.3">
      <c r="A3">
        <v>266</v>
      </c>
      <c r="B3">
        <v>0.61099999999999999</v>
      </c>
    </row>
    <row r="4" spans="1:2" x14ac:dyDescent="0.3">
      <c r="A4">
        <v>266</v>
      </c>
      <c r="B4">
        <v>0.60899999999999999</v>
      </c>
    </row>
    <row r="5" spans="1:2" x14ac:dyDescent="0.3">
      <c r="A5">
        <v>266</v>
      </c>
      <c r="B5">
        <v>0.59599999999999997</v>
      </c>
    </row>
    <row r="6" spans="1:2" x14ac:dyDescent="0.3">
      <c r="A6">
        <v>266</v>
      </c>
      <c r="B6">
        <v>0.59899999999999998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422DE-4504-4A57-8B65-536C160B0231}">
  <dimension ref="A1:X385"/>
  <sheetViews>
    <sheetView workbookViewId="0">
      <selection activeCell="U1" sqref="U1"/>
    </sheetView>
  </sheetViews>
  <sheetFormatPr defaultRowHeight="14" x14ac:dyDescent="0.3"/>
  <cols>
    <col min="4" max="4" width="8.75" bestFit="1" customWidth="1"/>
    <col min="5" max="5" width="8.75" customWidth="1"/>
    <col min="6" max="6" width="9.58203125" bestFit="1" customWidth="1"/>
    <col min="12" max="12" width="9.58203125" bestFit="1" customWidth="1"/>
  </cols>
  <sheetData>
    <row r="1" spans="1:24" x14ac:dyDescent="0.3">
      <c r="A1" t="s">
        <v>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0</v>
      </c>
      <c r="K1" s="1" t="s">
        <v>1</v>
      </c>
      <c r="L1" s="1" t="s">
        <v>2</v>
      </c>
      <c r="M1" t="s">
        <v>3</v>
      </c>
      <c r="N1" s="1" t="s">
        <v>0</v>
      </c>
      <c r="O1" s="1" t="s">
        <v>1</v>
      </c>
      <c r="P1" s="1" t="s">
        <v>2</v>
      </c>
      <c r="Q1" s="1" t="s">
        <v>3</v>
      </c>
      <c r="R1" s="1" t="s">
        <v>0</v>
      </c>
      <c r="S1" s="1" t="s">
        <v>1</v>
      </c>
      <c r="T1" s="1" t="s">
        <v>2</v>
      </c>
      <c r="U1" s="1" t="s">
        <v>3</v>
      </c>
      <c r="V1" s="1" t="s">
        <v>0</v>
      </c>
      <c r="W1" s="1" t="s">
        <v>1</v>
      </c>
      <c r="X1" s="1" t="s">
        <v>2</v>
      </c>
    </row>
    <row r="2" spans="1:24" x14ac:dyDescent="0.3">
      <c r="A2">
        <v>1</v>
      </c>
      <c r="B2" s="2">
        <v>11.106999999999999</v>
      </c>
      <c r="C2" s="1">
        <v>7</v>
      </c>
      <c r="D2" s="2">
        <v>1.5867142857142855</v>
      </c>
      <c r="E2" s="3">
        <v>65</v>
      </c>
      <c r="F2" s="2">
        <v>1.51</v>
      </c>
      <c r="G2" s="1">
        <v>1</v>
      </c>
      <c r="H2" s="2">
        <v>1.51</v>
      </c>
      <c r="I2" s="3">
        <v>129</v>
      </c>
      <c r="J2" s="2">
        <v>11.14</v>
      </c>
      <c r="K2" s="1">
        <v>7</v>
      </c>
      <c r="L2" s="2">
        <v>1.5914285714285714</v>
      </c>
      <c r="M2" s="3">
        <v>193</v>
      </c>
      <c r="N2" s="2">
        <v>10.72</v>
      </c>
      <c r="O2" s="1">
        <v>7</v>
      </c>
      <c r="P2" s="2">
        <v>1.5314285714285716</v>
      </c>
      <c r="Q2" s="3">
        <v>257</v>
      </c>
      <c r="R2" s="2">
        <v>11.865</v>
      </c>
      <c r="S2" s="1">
        <v>7</v>
      </c>
      <c r="T2" s="2">
        <v>1.6950000000000001</v>
      </c>
      <c r="U2" s="3">
        <f>321</f>
        <v>321</v>
      </c>
      <c r="V2" s="2">
        <v>1.5509999999999999</v>
      </c>
      <c r="W2" s="1">
        <v>1</v>
      </c>
      <c r="X2" s="2">
        <v>1.5509999999999999</v>
      </c>
    </row>
    <row r="3" spans="1:24" x14ac:dyDescent="0.3">
      <c r="A3">
        <f>A2+1</f>
        <v>2</v>
      </c>
      <c r="B3" s="2">
        <v>1.5049999999999999</v>
      </c>
      <c r="C3" s="1">
        <v>1</v>
      </c>
      <c r="D3" s="2">
        <v>1.5049999999999999</v>
      </c>
      <c r="E3" s="3">
        <f>E2+1</f>
        <v>66</v>
      </c>
      <c r="F3" s="2">
        <v>32.188000000000002</v>
      </c>
      <c r="G3" s="1">
        <v>20</v>
      </c>
      <c r="H3" s="2">
        <v>1.6094000000000002</v>
      </c>
      <c r="I3" s="3">
        <f>I2+1</f>
        <v>130</v>
      </c>
      <c r="J3" s="2">
        <v>4.569</v>
      </c>
      <c r="K3" s="1">
        <v>3</v>
      </c>
      <c r="L3" s="2">
        <v>1.5229999999999999</v>
      </c>
      <c r="M3" s="4">
        <f>M2+1</f>
        <v>194</v>
      </c>
      <c r="N3" s="2">
        <v>4.7569999999999997</v>
      </c>
      <c r="O3" s="1">
        <v>3</v>
      </c>
      <c r="P3" s="2">
        <v>1.5856666666666666</v>
      </c>
      <c r="Q3" s="3">
        <f>Q2+1</f>
        <v>258</v>
      </c>
      <c r="R3" s="2">
        <v>11.577</v>
      </c>
      <c r="S3" s="1">
        <v>7</v>
      </c>
      <c r="T3" s="2">
        <v>1.6538571428571429</v>
      </c>
      <c r="U3" s="3">
        <f>U2+1</f>
        <v>322</v>
      </c>
      <c r="V3" s="2">
        <v>1.5289999999999999</v>
      </c>
      <c r="W3" s="1">
        <v>1</v>
      </c>
      <c r="X3" s="2">
        <v>1.5289999999999999</v>
      </c>
    </row>
    <row r="4" spans="1:24" x14ac:dyDescent="0.3">
      <c r="A4">
        <f t="shared" ref="A4:A65" si="0">A3+1</f>
        <v>3</v>
      </c>
      <c r="B4" s="2">
        <v>15.614000000000001</v>
      </c>
      <c r="C4" s="1">
        <v>10</v>
      </c>
      <c r="D4" s="2">
        <v>1.5614000000000001</v>
      </c>
      <c r="E4" s="3">
        <f t="shared" ref="E4:E65" si="1">E3+1</f>
        <v>67</v>
      </c>
      <c r="F4" s="2">
        <v>17.687000000000001</v>
      </c>
      <c r="G4" s="1">
        <v>11</v>
      </c>
      <c r="H4" s="2">
        <v>1.607909090909091</v>
      </c>
      <c r="I4" s="3">
        <f t="shared" ref="I4:I65" si="2">I3+1</f>
        <v>131</v>
      </c>
      <c r="J4" s="2">
        <v>3.0470000000000002</v>
      </c>
      <c r="K4" s="1">
        <v>2</v>
      </c>
      <c r="L4" s="2">
        <v>1.5235000000000001</v>
      </c>
      <c r="M4" s="4">
        <f t="shared" ref="M4:M65" si="3">M3+1</f>
        <v>195</v>
      </c>
      <c r="N4" s="2">
        <v>12.116</v>
      </c>
      <c r="O4" s="1">
        <v>8</v>
      </c>
      <c r="P4" s="2">
        <v>1.5145</v>
      </c>
      <c r="Q4" s="3">
        <f t="shared" ref="Q4:Q65" si="4">Q3+1</f>
        <v>259</v>
      </c>
      <c r="R4" s="2">
        <v>18.132000000000001</v>
      </c>
      <c r="S4" s="1">
        <v>11</v>
      </c>
      <c r="T4" s="2">
        <v>1.6483636363636365</v>
      </c>
      <c r="U4" s="3">
        <f t="shared" ref="U4:U65" si="5">U3+1</f>
        <v>323</v>
      </c>
      <c r="V4" s="2">
        <v>9.3759999999999994</v>
      </c>
      <c r="W4" s="1">
        <v>6</v>
      </c>
      <c r="X4" s="2">
        <v>1.5626666666666666</v>
      </c>
    </row>
    <row r="5" spans="1:24" x14ac:dyDescent="0.3">
      <c r="A5">
        <f t="shared" si="0"/>
        <v>4</v>
      </c>
      <c r="B5" s="2">
        <v>3.0190000000000001</v>
      </c>
      <c r="C5" s="1">
        <v>2</v>
      </c>
      <c r="D5" s="2">
        <v>1.5095000000000001</v>
      </c>
      <c r="E5" s="3">
        <f t="shared" si="1"/>
        <v>68</v>
      </c>
      <c r="F5" s="2">
        <v>1.4450000000000001</v>
      </c>
      <c r="G5" s="1">
        <v>1</v>
      </c>
      <c r="H5" s="2">
        <v>1.4450000000000001</v>
      </c>
      <c r="I5" s="3">
        <f t="shared" si="2"/>
        <v>132</v>
      </c>
      <c r="J5" s="2">
        <v>1.5469999999999999</v>
      </c>
      <c r="K5" s="1">
        <v>1</v>
      </c>
      <c r="L5" s="2">
        <v>1.5469999999999999</v>
      </c>
      <c r="M5" s="4">
        <f t="shared" si="3"/>
        <v>196</v>
      </c>
      <c r="N5" s="2">
        <v>13.999000000000001</v>
      </c>
      <c r="O5" s="1">
        <v>9</v>
      </c>
      <c r="P5" s="2">
        <v>1.5554444444444444</v>
      </c>
      <c r="Q5" s="3">
        <f t="shared" si="4"/>
        <v>260</v>
      </c>
      <c r="R5" s="2">
        <v>13.407</v>
      </c>
      <c r="S5" s="1">
        <v>8</v>
      </c>
      <c r="T5" s="2">
        <v>1.675875</v>
      </c>
      <c r="U5" s="3">
        <f t="shared" si="5"/>
        <v>324</v>
      </c>
      <c r="V5" s="2">
        <v>6.3369999999999997</v>
      </c>
      <c r="W5" s="1">
        <v>4</v>
      </c>
      <c r="X5" s="2">
        <v>1.5842499999999999</v>
      </c>
    </row>
    <row r="6" spans="1:24" x14ac:dyDescent="0.3">
      <c r="A6">
        <f t="shared" si="0"/>
        <v>5</v>
      </c>
      <c r="B6" s="2">
        <v>3.0750000000000002</v>
      </c>
      <c r="C6" s="1">
        <v>2</v>
      </c>
      <c r="D6" s="2">
        <v>1.5375000000000001</v>
      </c>
      <c r="E6" s="3">
        <f t="shared" si="1"/>
        <v>69</v>
      </c>
      <c r="F6" s="2">
        <v>14.757</v>
      </c>
      <c r="G6" s="1">
        <v>9</v>
      </c>
      <c r="H6" s="2">
        <v>1.6396666666666666</v>
      </c>
      <c r="I6" s="3">
        <f t="shared" si="2"/>
        <v>133</v>
      </c>
      <c r="J6" s="2">
        <v>3.0219999999999998</v>
      </c>
      <c r="K6" s="1">
        <v>2</v>
      </c>
      <c r="L6" s="2">
        <v>1.5109999999999999</v>
      </c>
      <c r="M6" s="4">
        <f t="shared" si="3"/>
        <v>197</v>
      </c>
      <c r="N6" s="2">
        <v>12.087999999999999</v>
      </c>
      <c r="O6" s="1">
        <v>8</v>
      </c>
      <c r="P6" s="2">
        <v>1.5109999999999999</v>
      </c>
      <c r="Q6" s="3">
        <f t="shared" si="4"/>
        <v>261</v>
      </c>
      <c r="R6" s="2">
        <v>13.863</v>
      </c>
      <c r="S6" s="1">
        <v>9</v>
      </c>
      <c r="T6" s="2">
        <v>1.5403333333333333</v>
      </c>
      <c r="U6" s="3">
        <f t="shared" si="5"/>
        <v>325</v>
      </c>
      <c r="V6" s="2">
        <v>2.9220000000000002</v>
      </c>
      <c r="W6" s="1">
        <v>2</v>
      </c>
      <c r="X6" s="2">
        <v>1.4610000000000001</v>
      </c>
    </row>
    <row r="7" spans="1:24" x14ac:dyDescent="0.3">
      <c r="A7">
        <f t="shared" si="0"/>
        <v>6</v>
      </c>
      <c r="B7" s="2">
        <v>34.912999999999997</v>
      </c>
      <c r="C7" s="1">
        <v>22</v>
      </c>
      <c r="D7" s="2">
        <v>1.5869545454545453</v>
      </c>
      <c r="E7" s="3">
        <f t="shared" si="1"/>
        <v>70</v>
      </c>
      <c r="F7" s="2">
        <v>18.968</v>
      </c>
      <c r="G7" s="1">
        <v>12</v>
      </c>
      <c r="H7" s="2">
        <v>1.5806666666666667</v>
      </c>
      <c r="I7" s="3">
        <f t="shared" si="2"/>
        <v>134</v>
      </c>
      <c r="J7" s="2">
        <v>3.0379999999999998</v>
      </c>
      <c r="K7" s="1">
        <v>2</v>
      </c>
      <c r="L7" s="2">
        <v>1.5189999999999999</v>
      </c>
      <c r="M7" s="4">
        <f t="shared" si="3"/>
        <v>198</v>
      </c>
      <c r="N7" s="2">
        <v>1.7</v>
      </c>
      <c r="O7" s="1">
        <v>1</v>
      </c>
      <c r="P7" s="2">
        <v>1.7</v>
      </c>
      <c r="Q7" s="3">
        <f t="shared" si="4"/>
        <v>262</v>
      </c>
      <c r="R7" s="2">
        <v>8.5890000000000004</v>
      </c>
      <c r="S7" s="1">
        <v>5</v>
      </c>
      <c r="T7" s="2">
        <v>1.7178</v>
      </c>
      <c r="U7" s="3">
        <f t="shared" si="5"/>
        <v>326</v>
      </c>
      <c r="V7" s="2">
        <v>20.65</v>
      </c>
      <c r="W7" s="1">
        <v>13</v>
      </c>
      <c r="X7" s="2">
        <v>1.5884615384615384</v>
      </c>
    </row>
    <row r="8" spans="1:24" x14ac:dyDescent="0.3">
      <c r="A8">
        <f t="shared" si="0"/>
        <v>7</v>
      </c>
      <c r="B8" s="2">
        <v>3.54</v>
      </c>
      <c r="C8" s="1">
        <v>2</v>
      </c>
      <c r="D8" s="2">
        <v>1.77</v>
      </c>
      <c r="E8" s="3">
        <f t="shared" si="1"/>
        <v>71</v>
      </c>
      <c r="F8" s="2">
        <v>6.7880000000000003</v>
      </c>
      <c r="G8" s="1">
        <v>4</v>
      </c>
      <c r="H8" s="2">
        <v>1.6970000000000001</v>
      </c>
      <c r="I8" s="3">
        <f t="shared" si="2"/>
        <v>135</v>
      </c>
      <c r="J8" s="2">
        <v>1.5029999999999999</v>
      </c>
      <c r="K8" s="1">
        <v>1</v>
      </c>
      <c r="L8" s="2">
        <v>1.5029999999999999</v>
      </c>
      <c r="M8" s="4">
        <f t="shared" si="3"/>
        <v>199</v>
      </c>
      <c r="N8" s="2">
        <v>4.7670000000000003</v>
      </c>
      <c r="O8" s="1">
        <v>3</v>
      </c>
      <c r="P8" s="2">
        <v>1.5890000000000002</v>
      </c>
      <c r="Q8" s="3">
        <f t="shared" si="4"/>
        <v>263</v>
      </c>
      <c r="R8" s="2">
        <v>66.022999999999996</v>
      </c>
      <c r="S8" s="1">
        <v>41</v>
      </c>
      <c r="T8" s="2">
        <v>1.6103170731707317</v>
      </c>
      <c r="U8" s="3">
        <f t="shared" si="5"/>
        <v>327</v>
      </c>
      <c r="V8" s="2">
        <v>1.528</v>
      </c>
      <c r="W8" s="1">
        <v>1</v>
      </c>
      <c r="X8" s="2">
        <v>1.528</v>
      </c>
    </row>
    <row r="9" spans="1:24" x14ac:dyDescent="0.3">
      <c r="A9">
        <f t="shared" si="0"/>
        <v>8</v>
      </c>
      <c r="B9" s="2">
        <v>3.68</v>
      </c>
      <c r="C9" s="1">
        <v>2</v>
      </c>
      <c r="D9" s="2">
        <v>1.84</v>
      </c>
      <c r="E9" s="3">
        <f t="shared" si="1"/>
        <v>72</v>
      </c>
      <c r="F9" s="2">
        <v>1.7290000000000001</v>
      </c>
      <c r="G9" s="1">
        <v>1</v>
      </c>
      <c r="H9" s="2">
        <v>1.7290000000000001</v>
      </c>
      <c r="I9" s="3">
        <f t="shared" si="2"/>
        <v>136</v>
      </c>
      <c r="J9" s="2">
        <v>8.2910000000000004</v>
      </c>
      <c r="K9" s="1">
        <v>5</v>
      </c>
      <c r="L9" s="2">
        <v>1.6582000000000001</v>
      </c>
      <c r="M9" s="4">
        <f t="shared" si="3"/>
        <v>200</v>
      </c>
      <c r="N9" s="2">
        <v>1.605</v>
      </c>
      <c r="O9" s="1">
        <v>1</v>
      </c>
      <c r="P9" s="2">
        <v>1.605</v>
      </c>
      <c r="Q9" s="3">
        <f t="shared" si="4"/>
        <v>264</v>
      </c>
      <c r="R9" s="2">
        <v>2.7450000000000001</v>
      </c>
      <c r="S9" s="1">
        <v>2</v>
      </c>
      <c r="T9" s="2">
        <v>1.3725000000000001</v>
      </c>
      <c r="U9" s="3">
        <f t="shared" si="5"/>
        <v>328</v>
      </c>
      <c r="V9" s="2">
        <v>13.893000000000001</v>
      </c>
      <c r="W9" s="1">
        <v>9</v>
      </c>
      <c r="X9" s="2">
        <v>1.5436666666666667</v>
      </c>
    </row>
    <row r="10" spans="1:24" x14ac:dyDescent="0.3">
      <c r="A10">
        <f t="shared" si="0"/>
        <v>9</v>
      </c>
      <c r="B10" s="2">
        <v>2.99</v>
      </c>
      <c r="C10" s="1">
        <v>2</v>
      </c>
      <c r="D10" s="2">
        <v>1.4950000000000001</v>
      </c>
      <c r="E10" s="3">
        <f t="shared" si="1"/>
        <v>73</v>
      </c>
      <c r="F10" s="2">
        <v>5.0970000000000004</v>
      </c>
      <c r="G10" s="1">
        <v>3</v>
      </c>
      <c r="H10" s="2">
        <v>1.6990000000000001</v>
      </c>
      <c r="I10" s="3">
        <f t="shared" si="2"/>
        <v>137</v>
      </c>
      <c r="J10" s="2">
        <v>9.6059999999999999</v>
      </c>
      <c r="K10" s="1">
        <v>6</v>
      </c>
      <c r="L10" s="2">
        <v>1.601</v>
      </c>
      <c r="M10" s="4">
        <f t="shared" si="3"/>
        <v>201</v>
      </c>
      <c r="N10" s="2">
        <v>15.617000000000001</v>
      </c>
      <c r="O10" s="1">
        <v>10</v>
      </c>
      <c r="P10" s="2">
        <v>1.5617000000000001</v>
      </c>
      <c r="Q10" s="3">
        <f t="shared" si="4"/>
        <v>265</v>
      </c>
      <c r="R10" s="2">
        <v>14.606999999999999</v>
      </c>
      <c r="S10" s="1">
        <v>9</v>
      </c>
      <c r="T10" s="2">
        <v>1.623</v>
      </c>
      <c r="U10" s="3">
        <f t="shared" si="5"/>
        <v>329</v>
      </c>
      <c r="V10" s="2">
        <v>1.5429999999999999</v>
      </c>
      <c r="W10" s="1">
        <v>1</v>
      </c>
      <c r="X10" s="2">
        <v>1.5429999999999999</v>
      </c>
    </row>
    <row r="11" spans="1:24" x14ac:dyDescent="0.3">
      <c r="A11">
        <f t="shared" si="0"/>
        <v>10</v>
      </c>
      <c r="B11" s="2">
        <v>4.5599999999999996</v>
      </c>
      <c r="C11" s="1">
        <v>3</v>
      </c>
      <c r="D11" s="2">
        <v>1.5199999999999998</v>
      </c>
      <c r="E11" s="3">
        <f t="shared" si="1"/>
        <v>74</v>
      </c>
      <c r="F11" s="2">
        <v>6.3680000000000003</v>
      </c>
      <c r="G11" s="1">
        <v>4</v>
      </c>
      <c r="H11" s="2">
        <v>1.5920000000000001</v>
      </c>
      <c r="I11" s="3">
        <f t="shared" si="2"/>
        <v>138</v>
      </c>
      <c r="J11" s="2">
        <v>1.6140000000000001</v>
      </c>
      <c r="K11" s="1">
        <v>1</v>
      </c>
      <c r="L11" s="2">
        <v>1.6140000000000001</v>
      </c>
      <c r="M11" s="4">
        <f t="shared" si="3"/>
        <v>202</v>
      </c>
      <c r="N11" s="2">
        <v>29.768999999999998</v>
      </c>
      <c r="O11" s="1">
        <v>19</v>
      </c>
      <c r="P11" s="2">
        <v>1.5667894736842105</v>
      </c>
      <c r="Q11" s="3">
        <f t="shared" si="4"/>
        <v>266</v>
      </c>
      <c r="R11" s="2">
        <v>6.34</v>
      </c>
      <c r="S11" s="1">
        <v>4</v>
      </c>
      <c r="T11" s="2">
        <v>1.585</v>
      </c>
      <c r="U11" s="3">
        <f t="shared" si="5"/>
        <v>330</v>
      </c>
      <c r="V11" s="2">
        <v>6.3280000000000003</v>
      </c>
      <c r="W11" s="1">
        <v>4</v>
      </c>
      <c r="X11" s="2">
        <v>1.5820000000000001</v>
      </c>
    </row>
    <row r="12" spans="1:24" x14ac:dyDescent="0.3">
      <c r="A12">
        <f t="shared" si="0"/>
        <v>11</v>
      </c>
      <c r="B12" s="2">
        <v>4.32</v>
      </c>
      <c r="C12" s="1">
        <v>3</v>
      </c>
      <c r="D12" s="2">
        <v>1.4400000000000002</v>
      </c>
      <c r="E12" s="3">
        <f t="shared" si="1"/>
        <v>75</v>
      </c>
      <c r="F12" s="2">
        <v>14.817</v>
      </c>
      <c r="G12" s="1">
        <v>9</v>
      </c>
      <c r="H12" s="2">
        <v>1.6463333333333334</v>
      </c>
      <c r="I12" s="3">
        <f t="shared" si="2"/>
        <v>139</v>
      </c>
      <c r="J12" s="2">
        <v>3.1070000000000002</v>
      </c>
      <c r="K12" s="1">
        <v>2</v>
      </c>
      <c r="L12" s="2">
        <v>1.5535000000000001</v>
      </c>
      <c r="M12" s="4">
        <f t="shared" si="3"/>
        <v>203</v>
      </c>
      <c r="N12" s="2">
        <v>15.603</v>
      </c>
      <c r="O12" s="1">
        <v>10</v>
      </c>
      <c r="P12" s="2">
        <v>1.5603</v>
      </c>
      <c r="Q12" s="3">
        <f t="shared" si="4"/>
        <v>267</v>
      </c>
      <c r="R12" s="2">
        <v>1.5680000000000001</v>
      </c>
      <c r="S12" s="1">
        <v>1</v>
      </c>
      <c r="T12" s="2">
        <v>1.5680000000000001</v>
      </c>
      <c r="U12" s="3">
        <f t="shared" si="5"/>
        <v>331</v>
      </c>
      <c r="V12" s="2">
        <v>4.5279999999999996</v>
      </c>
      <c r="W12" s="1">
        <v>3</v>
      </c>
      <c r="X12" s="2">
        <v>1.5093333333333332</v>
      </c>
    </row>
    <row r="13" spans="1:24" x14ac:dyDescent="0.3">
      <c r="A13">
        <f t="shared" si="0"/>
        <v>12</v>
      </c>
      <c r="B13" s="2">
        <v>0.85699999999999998</v>
      </c>
      <c r="C13" s="1">
        <v>1</v>
      </c>
      <c r="D13" s="2">
        <v>0.85699999999999998</v>
      </c>
      <c r="E13" s="3">
        <f t="shared" si="1"/>
        <v>76</v>
      </c>
      <c r="F13" s="2">
        <v>13.811999999999999</v>
      </c>
      <c r="G13" s="1">
        <v>9</v>
      </c>
      <c r="H13" s="2">
        <v>1.5346666666666666</v>
      </c>
      <c r="I13" s="3">
        <f t="shared" si="2"/>
        <v>140</v>
      </c>
      <c r="J13" s="2">
        <v>3.1589999999999998</v>
      </c>
      <c r="K13" s="1">
        <v>2</v>
      </c>
      <c r="L13" s="2">
        <v>1.5794999999999999</v>
      </c>
      <c r="M13" s="4">
        <f t="shared" si="3"/>
        <v>204</v>
      </c>
      <c r="N13" s="2">
        <v>3.016</v>
      </c>
      <c r="O13" s="1">
        <v>2</v>
      </c>
      <c r="P13" s="2">
        <v>1.508</v>
      </c>
      <c r="Q13" s="3">
        <f t="shared" si="4"/>
        <v>268</v>
      </c>
      <c r="R13" s="2">
        <v>3.02</v>
      </c>
      <c r="S13" s="1">
        <v>2</v>
      </c>
      <c r="T13" s="2">
        <v>1.51</v>
      </c>
      <c r="U13" s="3">
        <f t="shared" si="5"/>
        <v>332</v>
      </c>
      <c r="V13" s="2">
        <v>1.498</v>
      </c>
      <c r="W13" s="1">
        <v>1</v>
      </c>
      <c r="X13" s="2">
        <v>1.498</v>
      </c>
    </row>
    <row r="14" spans="1:24" x14ac:dyDescent="0.3">
      <c r="A14">
        <f t="shared" si="0"/>
        <v>13</v>
      </c>
      <c r="B14" s="2">
        <v>0.91700000000000004</v>
      </c>
      <c r="C14" s="1">
        <v>1</v>
      </c>
      <c r="D14" s="2">
        <v>0.91700000000000004</v>
      </c>
      <c r="E14" s="3">
        <f t="shared" si="1"/>
        <v>77</v>
      </c>
      <c r="F14" s="2">
        <v>3.125</v>
      </c>
      <c r="G14" s="1">
        <v>2</v>
      </c>
      <c r="H14" s="2">
        <v>1.5625</v>
      </c>
      <c r="I14" s="3">
        <f t="shared" si="2"/>
        <v>141</v>
      </c>
      <c r="J14" s="2">
        <v>12.6</v>
      </c>
      <c r="K14" s="1">
        <v>8</v>
      </c>
      <c r="L14" s="2">
        <v>1.575</v>
      </c>
      <c r="M14" s="4">
        <f t="shared" si="3"/>
        <v>205</v>
      </c>
      <c r="N14" s="2">
        <v>1.615</v>
      </c>
      <c r="O14" s="1">
        <v>1</v>
      </c>
      <c r="P14" s="2">
        <v>1.615</v>
      </c>
      <c r="Q14" s="3">
        <f t="shared" si="4"/>
        <v>269</v>
      </c>
      <c r="R14" s="2">
        <v>22.3</v>
      </c>
      <c r="S14" s="1">
        <v>14</v>
      </c>
      <c r="T14" s="2">
        <v>1.592857142857143</v>
      </c>
      <c r="U14" s="3">
        <f t="shared" si="5"/>
        <v>333</v>
      </c>
      <c r="V14" s="2">
        <v>1.8420000000000001</v>
      </c>
      <c r="W14" s="1">
        <v>1</v>
      </c>
      <c r="X14" s="2">
        <v>1.8420000000000001</v>
      </c>
    </row>
    <row r="15" spans="1:24" x14ac:dyDescent="0.3">
      <c r="A15">
        <f t="shared" si="0"/>
        <v>14</v>
      </c>
      <c r="B15" s="2">
        <v>1.4319999999999999</v>
      </c>
      <c r="C15" s="1">
        <v>1</v>
      </c>
      <c r="D15" s="2">
        <v>1.4319999999999999</v>
      </c>
      <c r="E15" s="3">
        <f t="shared" si="1"/>
        <v>78</v>
      </c>
      <c r="F15" s="2">
        <v>1.6180000000000001</v>
      </c>
      <c r="G15" s="1">
        <v>1</v>
      </c>
      <c r="H15" s="2">
        <v>1.6180000000000001</v>
      </c>
      <c r="I15" s="3">
        <f t="shared" si="2"/>
        <v>142</v>
      </c>
      <c r="J15" s="2">
        <v>3.052</v>
      </c>
      <c r="K15" s="1">
        <v>2</v>
      </c>
      <c r="L15" s="2">
        <v>1.526</v>
      </c>
      <c r="M15" s="4">
        <f t="shared" si="3"/>
        <v>206</v>
      </c>
      <c r="N15" s="2">
        <v>2.0859999999999999</v>
      </c>
      <c r="O15" s="1">
        <v>1</v>
      </c>
      <c r="P15" s="2">
        <v>2.0859999999999999</v>
      </c>
      <c r="Q15" s="3">
        <f t="shared" si="4"/>
        <v>270</v>
      </c>
      <c r="R15" s="2">
        <v>5.8769999999999998</v>
      </c>
      <c r="S15" s="1">
        <v>4</v>
      </c>
      <c r="T15" s="2">
        <v>1.4692499999999999</v>
      </c>
      <c r="U15" s="3">
        <f t="shared" si="5"/>
        <v>334</v>
      </c>
      <c r="V15" s="2">
        <v>6.5830000000000002</v>
      </c>
      <c r="W15" s="1">
        <v>4</v>
      </c>
      <c r="X15" s="2">
        <v>1.64575</v>
      </c>
    </row>
    <row r="16" spans="1:24" x14ac:dyDescent="0.3">
      <c r="A16">
        <f t="shared" si="0"/>
        <v>15</v>
      </c>
      <c r="B16" s="2">
        <v>1.1419999999999999</v>
      </c>
      <c r="C16" s="1">
        <v>1</v>
      </c>
      <c r="D16" s="2">
        <v>1.1419999999999999</v>
      </c>
      <c r="E16" s="3">
        <f t="shared" si="1"/>
        <v>79</v>
      </c>
      <c r="F16" s="2">
        <v>4.5590000000000002</v>
      </c>
      <c r="G16" s="1">
        <v>3</v>
      </c>
      <c r="H16" s="2">
        <v>1.5196666666666667</v>
      </c>
      <c r="I16" s="3">
        <f t="shared" si="2"/>
        <v>143</v>
      </c>
      <c r="J16" s="2">
        <v>1.5129999999999999</v>
      </c>
      <c r="K16" s="1">
        <v>1</v>
      </c>
      <c r="L16" s="2">
        <v>1.5129999999999999</v>
      </c>
      <c r="M16" s="4">
        <f t="shared" si="3"/>
        <v>207</v>
      </c>
      <c r="N16" s="2">
        <v>20.001999999999999</v>
      </c>
      <c r="O16" s="1">
        <v>13</v>
      </c>
      <c r="P16" s="2">
        <v>1.5386153846153845</v>
      </c>
      <c r="Q16" s="3">
        <f t="shared" si="4"/>
        <v>271</v>
      </c>
      <c r="R16" s="2">
        <v>4.298</v>
      </c>
      <c r="S16" s="1">
        <v>3</v>
      </c>
      <c r="T16" s="2">
        <v>1.4326666666666668</v>
      </c>
      <c r="U16" s="3">
        <f t="shared" si="5"/>
        <v>335</v>
      </c>
      <c r="V16" s="2">
        <v>6.4610000000000003</v>
      </c>
      <c r="W16" s="1">
        <v>4</v>
      </c>
      <c r="X16" s="2">
        <v>1.6152500000000001</v>
      </c>
    </row>
    <row r="17" spans="1:24" x14ac:dyDescent="0.3">
      <c r="A17">
        <f t="shared" si="0"/>
        <v>16</v>
      </c>
      <c r="B17" s="2">
        <v>6.0990000000000002</v>
      </c>
      <c r="C17" s="1">
        <v>4</v>
      </c>
      <c r="D17" s="2">
        <v>1.52475</v>
      </c>
      <c r="E17" s="3">
        <f t="shared" si="1"/>
        <v>80</v>
      </c>
      <c r="F17" s="2">
        <v>5.0640000000000001</v>
      </c>
      <c r="G17" s="1">
        <v>3</v>
      </c>
      <c r="H17" s="2">
        <v>1.6879999999999999</v>
      </c>
      <c r="I17" s="3">
        <f t="shared" si="2"/>
        <v>144</v>
      </c>
      <c r="J17" s="2">
        <v>3.1120000000000001</v>
      </c>
      <c r="K17" s="1">
        <v>2</v>
      </c>
      <c r="L17" s="2">
        <v>1.556</v>
      </c>
      <c r="M17" s="4">
        <f t="shared" si="3"/>
        <v>208</v>
      </c>
      <c r="N17" s="2">
        <v>12.114000000000001</v>
      </c>
      <c r="O17" s="1">
        <v>8</v>
      </c>
      <c r="P17" s="2">
        <v>1.5142500000000001</v>
      </c>
      <c r="Q17" s="3">
        <f t="shared" si="4"/>
        <v>272</v>
      </c>
      <c r="R17" s="2">
        <v>5.3689999999999998</v>
      </c>
      <c r="S17" s="1">
        <v>3</v>
      </c>
      <c r="T17" s="2">
        <v>1.7896666666666665</v>
      </c>
      <c r="U17" s="3">
        <f t="shared" si="5"/>
        <v>336</v>
      </c>
      <c r="V17" s="2">
        <v>1.6830000000000001</v>
      </c>
      <c r="W17" s="1">
        <v>1</v>
      </c>
      <c r="X17" s="2">
        <v>1.6830000000000001</v>
      </c>
    </row>
    <row r="18" spans="1:24" x14ac:dyDescent="0.3">
      <c r="A18">
        <f t="shared" si="0"/>
        <v>17</v>
      </c>
      <c r="B18" s="2">
        <v>9.2899999999999991</v>
      </c>
      <c r="C18" s="1">
        <v>6</v>
      </c>
      <c r="D18" s="2">
        <v>1.5483333333333331</v>
      </c>
      <c r="E18" s="3">
        <f t="shared" si="1"/>
        <v>81</v>
      </c>
      <c r="F18" s="2">
        <v>7.7489999999999997</v>
      </c>
      <c r="G18" s="1">
        <v>5</v>
      </c>
      <c r="H18" s="2">
        <v>1.5497999999999998</v>
      </c>
      <c r="I18" s="3">
        <f t="shared" si="2"/>
        <v>145</v>
      </c>
      <c r="J18" s="2">
        <v>1.5780000000000001</v>
      </c>
      <c r="K18" s="1">
        <v>1</v>
      </c>
      <c r="L18" s="2">
        <v>1.5780000000000001</v>
      </c>
      <c r="M18" s="4">
        <f t="shared" si="3"/>
        <v>209</v>
      </c>
      <c r="N18" s="2">
        <v>10.762</v>
      </c>
      <c r="O18" s="1">
        <v>7</v>
      </c>
      <c r="P18" s="2">
        <v>1.5374285714285716</v>
      </c>
      <c r="Q18" s="3">
        <f t="shared" si="4"/>
        <v>273</v>
      </c>
      <c r="R18" s="2">
        <v>19.513999999999999</v>
      </c>
      <c r="S18" s="1">
        <v>12</v>
      </c>
      <c r="T18" s="2">
        <v>1.6261666666666665</v>
      </c>
      <c r="U18" s="3">
        <f t="shared" si="5"/>
        <v>337</v>
      </c>
      <c r="V18" s="2">
        <v>5.9980000000000002</v>
      </c>
      <c r="W18" s="1">
        <v>4</v>
      </c>
      <c r="X18" s="2">
        <v>1.4995000000000001</v>
      </c>
    </row>
    <row r="19" spans="1:24" x14ac:dyDescent="0.3">
      <c r="A19">
        <f t="shared" si="0"/>
        <v>18</v>
      </c>
      <c r="B19" s="2">
        <v>2.988</v>
      </c>
      <c r="C19" s="1">
        <v>2</v>
      </c>
      <c r="D19" s="2">
        <v>1.494</v>
      </c>
      <c r="E19" s="3">
        <f t="shared" si="1"/>
        <v>82</v>
      </c>
      <c r="F19" s="2">
        <v>17.472999999999999</v>
      </c>
      <c r="G19" s="1">
        <v>11</v>
      </c>
      <c r="H19" s="2">
        <v>1.5884545454545453</v>
      </c>
      <c r="I19" s="3">
        <f t="shared" si="2"/>
        <v>146</v>
      </c>
      <c r="J19" s="2">
        <v>1.5629999999999999</v>
      </c>
      <c r="K19" s="1">
        <v>1</v>
      </c>
      <c r="L19" s="2">
        <v>1.5629999999999999</v>
      </c>
      <c r="M19" s="4">
        <f t="shared" si="3"/>
        <v>210</v>
      </c>
      <c r="N19" s="2">
        <v>1.5680000000000001</v>
      </c>
      <c r="O19" s="1">
        <v>1</v>
      </c>
      <c r="P19" s="2">
        <v>1.5680000000000001</v>
      </c>
      <c r="Q19" s="3">
        <f t="shared" si="4"/>
        <v>274</v>
      </c>
      <c r="R19" s="2">
        <v>2.5920000000000001</v>
      </c>
      <c r="S19" s="1">
        <v>2</v>
      </c>
      <c r="T19" s="2">
        <v>1.296</v>
      </c>
      <c r="U19" s="3">
        <f t="shared" si="5"/>
        <v>338</v>
      </c>
      <c r="V19" s="2">
        <v>1.5589999999999999</v>
      </c>
      <c r="W19" s="1">
        <v>1</v>
      </c>
      <c r="X19" s="2">
        <v>1.5589999999999999</v>
      </c>
    </row>
    <row r="20" spans="1:24" x14ac:dyDescent="0.3">
      <c r="A20">
        <f t="shared" si="0"/>
        <v>19</v>
      </c>
      <c r="B20" s="2">
        <v>4.835</v>
      </c>
      <c r="C20" s="1">
        <v>3</v>
      </c>
      <c r="D20" s="2">
        <v>1.6116666666666666</v>
      </c>
      <c r="E20" s="3">
        <f t="shared" si="1"/>
        <v>83</v>
      </c>
      <c r="F20" s="2">
        <v>1.7310000000000001</v>
      </c>
      <c r="G20" s="1">
        <v>1</v>
      </c>
      <c r="H20" s="2">
        <v>1.7310000000000001</v>
      </c>
      <c r="I20" s="3">
        <f t="shared" si="2"/>
        <v>147</v>
      </c>
      <c r="J20" s="2">
        <v>6.1529999999999996</v>
      </c>
      <c r="K20" s="1">
        <v>4</v>
      </c>
      <c r="L20" s="2">
        <v>1.5382499999999999</v>
      </c>
      <c r="M20" s="4">
        <f t="shared" si="3"/>
        <v>211</v>
      </c>
      <c r="N20" s="2">
        <v>7.92</v>
      </c>
      <c r="O20" s="1">
        <v>5</v>
      </c>
      <c r="P20" s="2">
        <v>1.5840000000000001</v>
      </c>
      <c r="Q20" s="3">
        <f t="shared" si="4"/>
        <v>275</v>
      </c>
      <c r="R20" s="2">
        <v>7.8630000000000004</v>
      </c>
      <c r="S20" s="1">
        <v>5</v>
      </c>
      <c r="T20" s="2">
        <v>1.5726</v>
      </c>
      <c r="U20" s="3">
        <f t="shared" si="5"/>
        <v>339</v>
      </c>
      <c r="V20" s="2">
        <v>5.8259999999999996</v>
      </c>
      <c r="W20" s="1">
        <v>4</v>
      </c>
      <c r="X20" s="2">
        <v>1.4564999999999999</v>
      </c>
    </row>
    <row r="21" spans="1:24" x14ac:dyDescent="0.3">
      <c r="A21">
        <f t="shared" si="0"/>
        <v>20</v>
      </c>
      <c r="B21" s="2">
        <v>9.2530000000000001</v>
      </c>
      <c r="C21" s="1">
        <v>6</v>
      </c>
      <c r="D21" s="2">
        <v>1.5421666666666667</v>
      </c>
      <c r="E21" s="3">
        <f t="shared" si="1"/>
        <v>84</v>
      </c>
      <c r="F21" s="2">
        <v>1.7150000000000001</v>
      </c>
      <c r="G21" s="1">
        <v>1</v>
      </c>
      <c r="H21" s="2">
        <v>1.7150000000000001</v>
      </c>
      <c r="I21" s="3">
        <f t="shared" si="2"/>
        <v>148</v>
      </c>
      <c r="J21" s="2">
        <v>1.5649999999999999</v>
      </c>
      <c r="K21" s="1">
        <v>1</v>
      </c>
      <c r="L21" s="2">
        <v>1.5649999999999999</v>
      </c>
      <c r="M21" s="4">
        <f t="shared" si="3"/>
        <v>212</v>
      </c>
      <c r="N21" s="2">
        <v>7.9119999999999999</v>
      </c>
      <c r="O21" s="1">
        <v>5</v>
      </c>
      <c r="P21" s="2">
        <v>1.5824</v>
      </c>
      <c r="Q21" s="3">
        <f t="shared" si="4"/>
        <v>276</v>
      </c>
      <c r="R21" s="2">
        <v>9.0890000000000004</v>
      </c>
      <c r="S21" s="1">
        <v>6</v>
      </c>
      <c r="T21" s="2">
        <v>1.5148333333333335</v>
      </c>
      <c r="U21" s="3">
        <f t="shared" si="5"/>
        <v>340</v>
      </c>
      <c r="V21" s="2">
        <v>1.43</v>
      </c>
      <c r="W21" s="1">
        <v>1</v>
      </c>
      <c r="X21" s="2">
        <v>1.43</v>
      </c>
    </row>
    <row r="22" spans="1:24" x14ac:dyDescent="0.3">
      <c r="A22">
        <f t="shared" si="0"/>
        <v>21</v>
      </c>
      <c r="B22" s="2">
        <v>10.654999999999999</v>
      </c>
      <c r="C22" s="1">
        <v>7</v>
      </c>
      <c r="D22" s="2">
        <v>1.522142857142857</v>
      </c>
      <c r="E22" s="3">
        <f t="shared" si="1"/>
        <v>85</v>
      </c>
      <c r="F22" s="2">
        <v>3.3919999999999999</v>
      </c>
      <c r="G22" s="1">
        <v>2</v>
      </c>
      <c r="H22" s="2">
        <v>1.696</v>
      </c>
      <c r="I22" s="3">
        <f t="shared" si="2"/>
        <v>149</v>
      </c>
      <c r="J22" s="2">
        <v>4.68</v>
      </c>
      <c r="K22" s="1">
        <v>3</v>
      </c>
      <c r="L22" s="2">
        <v>1.5599999999999998</v>
      </c>
      <c r="M22" s="4">
        <f t="shared" si="3"/>
        <v>213</v>
      </c>
      <c r="N22" s="2">
        <v>7.5430000000000001</v>
      </c>
      <c r="O22" s="1">
        <v>5</v>
      </c>
      <c r="P22" s="2">
        <v>1.5085999999999999</v>
      </c>
      <c r="Q22" s="3">
        <f t="shared" si="4"/>
        <v>277</v>
      </c>
      <c r="R22" s="2">
        <v>1.5580000000000001</v>
      </c>
      <c r="S22" s="1">
        <v>1</v>
      </c>
      <c r="T22" s="2">
        <v>1.5580000000000001</v>
      </c>
      <c r="U22" s="3">
        <f t="shared" si="5"/>
        <v>341</v>
      </c>
      <c r="V22" s="2">
        <v>3.08</v>
      </c>
      <c r="W22" s="1">
        <v>2</v>
      </c>
      <c r="X22" s="2">
        <v>1.54</v>
      </c>
    </row>
    <row r="23" spans="1:24" x14ac:dyDescent="0.3">
      <c r="A23">
        <f t="shared" si="0"/>
        <v>22</v>
      </c>
      <c r="B23" s="2">
        <v>4.641</v>
      </c>
      <c r="C23" s="1">
        <v>3</v>
      </c>
      <c r="D23" s="2">
        <v>1.5469999999999999</v>
      </c>
      <c r="E23" s="3">
        <f t="shared" si="1"/>
        <v>86</v>
      </c>
      <c r="F23" s="2">
        <v>1.6919999999999999</v>
      </c>
      <c r="G23" s="1">
        <v>1</v>
      </c>
      <c r="H23" s="2">
        <v>1.6919999999999999</v>
      </c>
      <c r="I23" s="3">
        <f t="shared" si="2"/>
        <v>150</v>
      </c>
      <c r="J23" s="2">
        <v>10.991</v>
      </c>
      <c r="K23" s="1">
        <v>7</v>
      </c>
      <c r="L23" s="2">
        <v>1.5701428571428571</v>
      </c>
      <c r="M23" s="4">
        <f t="shared" si="3"/>
        <v>214</v>
      </c>
      <c r="N23" s="2">
        <v>16.594999999999999</v>
      </c>
      <c r="O23" s="1">
        <v>10</v>
      </c>
      <c r="P23" s="2">
        <v>1.6595</v>
      </c>
      <c r="Q23" s="3">
        <f t="shared" si="4"/>
        <v>278</v>
      </c>
      <c r="R23" s="2">
        <v>3.069</v>
      </c>
      <c r="S23" s="1">
        <v>2</v>
      </c>
      <c r="T23" s="2">
        <v>1.5345</v>
      </c>
      <c r="U23" s="3">
        <f t="shared" si="5"/>
        <v>342</v>
      </c>
      <c r="V23" s="2">
        <v>6.6689999999999996</v>
      </c>
      <c r="W23" s="1">
        <v>4</v>
      </c>
      <c r="X23" s="2">
        <v>1.6672499999999999</v>
      </c>
    </row>
    <row r="24" spans="1:24" x14ac:dyDescent="0.3">
      <c r="A24">
        <f t="shared" si="0"/>
        <v>23</v>
      </c>
      <c r="B24" s="2">
        <v>6.1619999999999999</v>
      </c>
      <c r="C24" s="1">
        <v>4</v>
      </c>
      <c r="D24" s="2">
        <v>1.5405</v>
      </c>
      <c r="E24" s="3">
        <f t="shared" si="1"/>
        <v>87</v>
      </c>
      <c r="F24" s="2">
        <v>1.7270000000000001</v>
      </c>
      <c r="G24" s="1">
        <v>1</v>
      </c>
      <c r="H24" s="2">
        <v>1.7270000000000001</v>
      </c>
      <c r="I24" s="3">
        <f t="shared" si="2"/>
        <v>151</v>
      </c>
      <c r="J24" s="2">
        <v>4.5830000000000002</v>
      </c>
      <c r="K24" s="1">
        <v>3</v>
      </c>
      <c r="L24" s="2">
        <v>1.5276666666666667</v>
      </c>
      <c r="M24" s="4">
        <f t="shared" si="3"/>
        <v>215</v>
      </c>
      <c r="N24" s="2">
        <v>9.15</v>
      </c>
      <c r="O24" s="1">
        <v>6</v>
      </c>
      <c r="P24" s="2">
        <v>1.5250000000000001</v>
      </c>
      <c r="Q24" s="3">
        <f t="shared" si="4"/>
        <v>279</v>
      </c>
      <c r="R24" s="2">
        <v>7.782</v>
      </c>
      <c r="S24" s="1">
        <v>5</v>
      </c>
      <c r="T24" s="2">
        <v>1.5564</v>
      </c>
      <c r="U24" s="3">
        <f t="shared" si="5"/>
        <v>343</v>
      </c>
      <c r="V24" s="2">
        <v>11.587</v>
      </c>
      <c r="W24" s="1">
        <v>7</v>
      </c>
      <c r="X24" s="2">
        <v>1.6552857142857142</v>
      </c>
    </row>
    <row r="25" spans="1:24" x14ac:dyDescent="0.3">
      <c r="A25">
        <f t="shared" si="0"/>
        <v>24</v>
      </c>
      <c r="B25" s="2">
        <v>13.462</v>
      </c>
      <c r="C25" s="1">
        <v>8</v>
      </c>
      <c r="D25" s="2">
        <v>1.68275</v>
      </c>
      <c r="E25" s="3">
        <f t="shared" si="1"/>
        <v>88</v>
      </c>
      <c r="F25" s="2">
        <v>7.5709999999999997</v>
      </c>
      <c r="G25" s="1">
        <v>5</v>
      </c>
      <c r="H25" s="2">
        <v>1.5142</v>
      </c>
      <c r="I25" s="3">
        <f t="shared" si="2"/>
        <v>152</v>
      </c>
      <c r="J25" s="2">
        <v>4.6859999999999999</v>
      </c>
      <c r="K25" s="1">
        <v>3</v>
      </c>
      <c r="L25" s="2">
        <v>1.5620000000000001</v>
      </c>
      <c r="M25" s="4">
        <f t="shared" si="3"/>
        <v>216</v>
      </c>
      <c r="N25" s="2">
        <v>3.02</v>
      </c>
      <c r="O25" s="1">
        <v>2</v>
      </c>
      <c r="P25" s="2">
        <v>1.51</v>
      </c>
      <c r="Q25" s="3">
        <f t="shared" si="4"/>
        <v>280</v>
      </c>
      <c r="R25" s="2">
        <v>6.048</v>
      </c>
      <c r="S25" s="1">
        <v>4</v>
      </c>
      <c r="T25" s="2">
        <v>1.512</v>
      </c>
      <c r="U25" s="3">
        <f t="shared" si="5"/>
        <v>344</v>
      </c>
      <c r="V25" s="2">
        <v>10.045999999999999</v>
      </c>
      <c r="W25" s="1">
        <v>6</v>
      </c>
      <c r="X25" s="2">
        <v>1.6743333333333332</v>
      </c>
    </row>
    <row r="26" spans="1:24" x14ac:dyDescent="0.3">
      <c r="A26">
        <f t="shared" si="0"/>
        <v>25</v>
      </c>
      <c r="B26" s="2">
        <v>3.0539999999999998</v>
      </c>
      <c r="C26" s="1">
        <v>2</v>
      </c>
      <c r="D26" s="2">
        <v>1.5269999999999999</v>
      </c>
      <c r="E26" s="3">
        <f t="shared" si="1"/>
        <v>89</v>
      </c>
      <c r="F26" s="2">
        <v>4.4889999999999999</v>
      </c>
      <c r="G26" s="1">
        <v>3</v>
      </c>
      <c r="H26" s="2">
        <v>1.4963333333333333</v>
      </c>
      <c r="I26" s="3">
        <f t="shared" si="2"/>
        <v>153</v>
      </c>
      <c r="J26" s="2">
        <v>3.0790000000000002</v>
      </c>
      <c r="K26" s="1">
        <v>2</v>
      </c>
      <c r="L26" s="2">
        <v>1.5395000000000001</v>
      </c>
      <c r="M26" s="4">
        <f t="shared" si="3"/>
        <v>217</v>
      </c>
      <c r="N26" s="2">
        <v>1.516</v>
      </c>
      <c r="O26" s="1">
        <v>1</v>
      </c>
      <c r="P26" s="2">
        <v>1.516</v>
      </c>
      <c r="Q26" s="3">
        <f t="shared" si="4"/>
        <v>281</v>
      </c>
      <c r="R26" s="2">
        <v>6.0010000000000003</v>
      </c>
      <c r="S26" s="1">
        <v>4</v>
      </c>
      <c r="T26" s="2">
        <v>1.5002500000000001</v>
      </c>
      <c r="U26" s="3">
        <f t="shared" si="5"/>
        <v>345</v>
      </c>
      <c r="V26" s="2">
        <v>10.321999999999999</v>
      </c>
      <c r="W26" s="1">
        <v>6</v>
      </c>
      <c r="X26" s="2">
        <v>1.7203333333333333</v>
      </c>
    </row>
    <row r="27" spans="1:24" x14ac:dyDescent="0.3">
      <c r="A27">
        <f t="shared" si="0"/>
        <v>26</v>
      </c>
      <c r="B27" s="2">
        <v>16.475999999999999</v>
      </c>
      <c r="C27" s="1">
        <v>10</v>
      </c>
      <c r="D27" s="2">
        <v>1.6476</v>
      </c>
      <c r="E27" s="3">
        <f t="shared" si="1"/>
        <v>90</v>
      </c>
      <c r="F27" s="2">
        <v>10.95</v>
      </c>
      <c r="G27" s="1">
        <v>7</v>
      </c>
      <c r="H27" s="2">
        <v>1.5642857142857143</v>
      </c>
      <c r="I27" s="3">
        <f t="shared" si="2"/>
        <v>154</v>
      </c>
      <c r="J27" s="2">
        <v>3.2149999999999999</v>
      </c>
      <c r="K27" s="1">
        <v>2</v>
      </c>
      <c r="L27" s="2">
        <v>1.6074999999999999</v>
      </c>
      <c r="M27" s="4">
        <f t="shared" si="3"/>
        <v>218</v>
      </c>
      <c r="N27" s="2">
        <v>6.2130000000000001</v>
      </c>
      <c r="O27" s="1">
        <v>4</v>
      </c>
      <c r="P27" s="2">
        <v>1.55325</v>
      </c>
      <c r="Q27" s="3">
        <f t="shared" si="4"/>
        <v>282</v>
      </c>
      <c r="R27" s="2">
        <v>2.9830000000000001</v>
      </c>
      <c r="S27" s="1">
        <v>2</v>
      </c>
      <c r="T27" s="2">
        <v>1.4915</v>
      </c>
      <c r="U27" s="3">
        <f t="shared" si="5"/>
        <v>346</v>
      </c>
      <c r="V27" s="2">
        <v>7.18</v>
      </c>
      <c r="W27" s="1">
        <v>4</v>
      </c>
      <c r="X27" s="2">
        <v>1.7949999999999999</v>
      </c>
    </row>
    <row r="28" spans="1:24" x14ac:dyDescent="0.3">
      <c r="A28">
        <f t="shared" si="0"/>
        <v>27</v>
      </c>
      <c r="B28" s="2">
        <v>40.700000000000003</v>
      </c>
      <c r="C28" s="1">
        <v>25</v>
      </c>
      <c r="D28" s="2">
        <v>1.6280000000000001</v>
      </c>
      <c r="E28" s="3">
        <f t="shared" si="1"/>
        <v>91</v>
      </c>
      <c r="F28" s="2">
        <v>6.0629999999999997</v>
      </c>
      <c r="G28" s="1">
        <v>4</v>
      </c>
      <c r="H28" s="2">
        <v>1.5157499999999999</v>
      </c>
      <c r="I28" s="3">
        <f t="shared" si="2"/>
        <v>155</v>
      </c>
      <c r="J28" s="2">
        <v>3.04</v>
      </c>
      <c r="K28" s="1">
        <v>2</v>
      </c>
      <c r="L28" s="2">
        <v>1.52</v>
      </c>
      <c r="M28" s="4">
        <f t="shared" si="3"/>
        <v>219</v>
      </c>
      <c r="N28" s="2">
        <v>1.5589999999999999</v>
      </c>
      <c r="O28" s="1">
        <v>1</v>
      </c>
      <c r="P28" s="2">
        <v>1.5589999999999999</v>
      </c>
      <c r="Q28" s="3">
        <f t="shared" si="4"/>
        <v>283</v>
      </c>
      <c r="R28" s="2">
        <v>3.0019999999999998</v>
      </c>
      <c r="S28" s="1">
        <v>2</v>
      </c>
      <c r="T28" s="2">
        <v>1.5009999999999999</v>
      </c>
      <c r="U28" s="3">
        <f t="shared" si="5"/>
        <v>347</v>
      </c>
      <c r="V28" s="2">
        <v>15.795999999999999</v>
      </c>
      <c r="W28" s="1">
        <v>10</v>
      </c>
      <c r="X28" s="2">
        <v>1.5795999999999999</v>
      </c>
    </row>
    <row r="29" spans="1:24" x14ac:dyDescent="0.3">
      <c r="A29">
        <f t="shared" si="0"/>
        <v>28</v>
      </c>
      <c r="B29" s="2">
        <v>9.2859999999999996</v>
      </c>
      <c r="C29" s="1">
        <v>6</v>
      </c>
      <c r="D29" s="2">
        <v>1.5476666666666665</v>
      </c>
      <c r="E29" s="3">
        <f t="shared" si="1"/>
        <v>92</v>
      </c>
      <c r="F29" s="2">
        <v>12.195</v>
      </c>
      <c r="G29" s="1">
        <v>8</v>
      </c>
      <c r="H29" s="2">
        <v>1.524375</v>
      </c>
      <c r="I29" s="3">
        <f t="shared" si="2"/>
        <v>156</v>
      </c>
      <c r="J29" s="2">
        <v>14.523</v>
      </c>
      <c r="K29" s="1">
        <v>9</v>
      </c>
      <c r="L29" s="2">
        <v>1.6136666666666666</v>
      </c>
      <c r="M29" s="4">
        <f t="shared" si="3"/>
        <v>220</v>
      </c>
      <c r="N29" s="2">
        <v>4.8049999999999997</v>
      </c>
      <c r="O29" s="1">
        <v>3</v>
      </c>
      <c r="P29" s="2">
        <v>1.6016666666666666</v>
      </c>
      <c r="Q29" s="3">
        <f t="shared" si="4"/>
        <v>284</v>
      </c>
      <c r="R29" s="2">
        <v>4.3</v>
      </c>
      <c r="S29" s="1">
        <v>3</v>
      </c>
      <c r="T29" s="2">
        <v>1.4333333333333333</v>
      </c>
      <c r="U29" s="3">
        <f t="shared" si="5"/>
        <v>348</v>
      </c>
      <c r="V29" s="2">
        <v>2.9020000000000001</v>
      </c>
      <c r="W29" s="1">
        <v>2</v>
      </c>
      <c r="X29" s="2">
        <v>1.4510000000000001</v>
      </c>
    </row>
    <row r="30" spans="1:24" x14ac:dyDescent="0.3">
      <c r="A30">
        <f t="shared" si="0"/>
        <v>29</v>
      </c>
      <c r="B30" s="2">
        <v>6.03</v>
      </c>
      <c r="C30" s="1">
        <v>4</v>
      </c>
      <c r="D30" s="2">
        <v>1.5075000000000001</v>
      </c>
      <c r="E30" s="3">
        <f t="shared" si="1"/>
        <v>93</v>
      </c>
      <c r="F30" s="2">
        <v>7.5270000000000001</v>
      </c>
      <c r="G30" s="1">
        <v>5</v>
      </c>
      <c r="H30" s="2">
        <v>1.5054000000000001</v>
      </c>
      <c r="I30" s="3">
        <f t="shared" si="2"/>
        <v>157</v>
      </c>
      <c r="J30" s="2">
        <v>7.8849999999999998</v>
      </c>
      <c r="K30" s="1">
        <v>5</v>
      </c>
      <c r="L30" s="2">
        <v>1.577</v>
      </c>
      <c r="M30" s="4">
        <f t="shared" si="3"/>
        <v>221</v>
      </c>
      <c r="N30" s="2">
        <v>3.0750000000000002</v>
      </c>
      <c r="O30" s="1">
        <v>2</v>
      </c>
      <c r="P30" s="2">
        <v>1.5375000000000001</v>
      </c>
      <c r="Q30" s="3">
        <f t="shared" si="4"/>
        <v>285</v>
      </c>
      <c r="R30" s="2">
        <v>3.0190000000000001</v>
      </c>
      <c r="S30" s="1">
        <v>2</v>
      </c>
      <c r="T30" s="2">
        <v>1.5095000000000001</v>
      </c>
      <c r="U30" s="3">
        <f t="shared" si="5"/>
        <v>349</v>
      </c>
      <c r="V30" s="2">
        <v>6.0330000000000004</v>
      </c>
      <c r="W30" s="1">
        <v>4</v>
      </c>
      <c r="X30" s="2">
        <v>1.5082500000000001</v>
      </c>
    </row>
    <row r="31" spans="1:24" x14ac:dyDescent="0.3">
      <c r="A31">
        <f t="shared" si="0"/>
        <v>30</v>
      </c>
      <c r="B31" s="2">
        <v>7.4909999999999997</v>
      </c>
      <c r="C31" s="1">
        <v>5</v>
      </c>
      <c r="D31" s="2">
        <v>1.4982</v>
      </c>
      <c r="E31" s="3">
        <f t="shared" si="1"/>
        <v>94</v>
      </c>
      <c r="F31" s="2">
        <v>6.2430000000000003</v>
      </c>
      <c r="G31" s="1">
        <v>4</v>
      </c>
      <c r="H31" s="2">
        <v>1.5607500000000001</v>
      </c>
      <c r="I31" s="3">
        <f t="shared" si="2"/>
        <v>158</v>
      </c>
      <c r="J31" s="2">
        <v>3.1070000000000002</v>
      </c>
      <c r="K31" s="1">
        <v>2</v>
      </c>
      <c r="L31" s="2">
        <v>1.5535000000000001</v>
      </c>
      <c r="M31" s="4">
        <f t="shared" si="3"/>
        <v>222</v>
      </c>
      <c r="N31" s="2">
        <v>4.8280000000000003</v>
      </c>
      <c r="O31" s="1">
        <v>3</v>
      </c>
      <c r="P31" s="2">
        <v>1.6093333333333335</v>
      </c>
      <c r="Q31" s="3">
        <f t="shared" si="4"/>
        <v>286</v>
      </c>
      <c r="R31" s="2">
        <v>1.4930000000000001</v>
      </c>
      <c r="S31" s="1">
        <v>1</v>
      </c>
      <c r="T31" s="2">
        <v>1.4930000000000001</v>
      </c>
      <c r="U31" s="3">
        <f t="shared" si="5"/>
        <v>350</v>
      </c>
      <c r="V31" s="2">
        <v>29.539000000000001</v>
      </c>
      <c r="W31" s="1">
        <v>18</v>
      </c>
      <c r="X31" s="2">
        <v>1.6410555555555557</v>
      </c>
    </row>
    <row r="32" spans="1:24" x14ac:dyDescent="0.3">
      <c r="A32">
        <f t="shared" si="0"/>
        <v>31</v>
      </c>
      <c r="B32" s="2">
        <v>4.5919999999999996</v>
      </c>
      <c r="C32" s="1">
        <v>3</v>
      </c>
      <c r="D32" s="2">
        <v>1.5306666666666666</v>
      </c>
      <c r="E32" s="3">
        <f t="shared" si="1"/>
        <v>95</v>
      </c>
      <c r="F32" s="2">
        <v>6.258</v>
      </c>
      <c r="G32" s="1">
        <v>4</v>
      </c>
      <c r="H32" s="2">
        <v>1.5645</v>
      </c>
      <c r="I32" s="3">
        <f t="shared" si="2"/>
        <v>159</v>
      </c>
      <c r="J32" s="2">
        <v>3.16</v>
      </c>
      <c r="K32" s="1">
        <v>2</v>
      </c>
      <c r="L32" s="2">
        <v>1.58</v>
      </c>
      <c r="M32" s="4">
        <f t="shared" si="3"/>
        <v>223</v>
      </c>
      <c r="N32" s="2">
        <v>7.5830000000000002</v>
      </c>
      <c r="O32" s="1">
        <v>5</v>
      </c>
      <c r="P32" s="2">
        <v>1.5165999999999999</v>
      </c>
      <c r="Q32" s="3">
        <f t="shared" si="4"/>
        <v>287</v>
      </c>
      <c r="R32" s="2">
        <v>1.4770000000000001</v>
      </c>
      <c r="S32" s="1">
        <v>1</v>
      </c>
      <c r="T32" s="2">
        <v>1.4770000000000001</v>
      </c>
      <c r="U32" s="3">
        <f t="shared" si="5"/>
        <v>351</v>
      </c>
      <c r="V32" s="2">
        <v>24.009</v>
      </c>
      <c r="W32" s="1">
        <v>15</v>
      </c>
      <c r="X32" s="2">
        <v>1.6006</v>
      </c>
    </row>
    <row r="33" spans="1:24" x14ac:dyDescent="0.3">
      <c r="A33">
        <f t="shared" si="0"/>
        <v>32</v>
      </c>
      <c r="B33" s="2">
        <v>4.57</v>
      </c>
      <c r="C33" s="1">
        <v>3</v>
      </c>
      <c r="D33" s="2">
        <v>1.5233333333333334</v>
      </c>
      <c r="E33" s="3">
        <f t="shared" si="1"/>
        <v>96</v>
      </c>
      <c r="F33" s="2">
        <v>6.1660000000000004</v>
      </c>
      <c r="G33" s="1">
        <v>4</v>
      </c>
      <c r="H33" s="2">
        <v>1.5415000000000001</v>
      </c>
      <c r="I33" s="3">
        <f t="shared" si="2"/>
        <v>160</v>
      </c>
      <c r="J33" s="2">
        <v>3.085</v>
      </c>
      <c r="K33" s="1">
        <v>2</v>
      </c>
      <c r="L33" s="2">
        <v>1.5425</v>
      </c>
      <c r="M33" s="4">
        <f t="shared" si="3"/>
        <v>224</v>
      </c>
      <c r="N33" s="2">
        <v>8.2669999999999995</v>
      </c>
      <c r="O33" s="1">
        <v>5</v>
      </c>
      <c r="P33" s="2">
        <v>1.6534</v>
      </c>
      <c r="Q33" s="3">
        <f t="shared" si="4"/>
        <v>288</v>
      </c>
      <c r="R33" s="2">
        <v>4.5720000000000001</v>
      </c>
      <c r="S33" s="1">
        <v>3</v>
      </c>
      <c r="T33" s="2">
        <v>1.524</v>
      </c>
      <c r="U33" s="3">
        <f t="shared" si="5"/>
        <v>352</v>
      </c>
      <c r="V33" s="2">
        <v>2.97</v>
      </c>
      <c r="W33" s="1">
        <v>2</v>
      </c>
      <c r="X33" s="2">
        <v>1.4850000000000001</v>
      </c>
    </row>
    <row r="34" spans="1:24" x14ac:dyDescent="0.3">
      <c r="A34">
        <f t="shared" si="0"/>
        <v>33</v>
      </c>
      <c r="B34" s="2">
        <v>7.4059999999999997</v>
      </c>
      <c r="C34" s="1">
        <v>5</v>
      </c>
      <c r="D34" s="2">
        <v>1.4811999999999999</v>
      </c>
      <c r="E34" s="3">
        <f t="shared" si="1"/>
        <v>97</v>
      </c>
      <c r="F34" s="2">
        <v>6.0869999999999997</v>
      </c>
      <c r="G34" s="1">
        <v>4</v>
      </c>
      <c r="H34" s="2">
        <v>1.5217499999999999</v>
      </c>
      <c r="I34" s="3">
        <f t="shared" si="2"/>
        <v>161</v>
      </c>
      <c r="J34" s="2">
        <v>10.73</v>
      </c>
      <c r="K34" s="1">
        <v>7</v>
      </c>
      <c r="L34" s="2">
        <v>1.5328571428571429</v>
      </c>
      <c r="M34" s="4">
        <f t="shared" si="3"/>
        <v>225</v>
      </c>
      <c r="N34" s="2">
        <v>1.2430000000000001</v>
      </c>
      <c r="O34" s="1">
        <v>1</v>
      </c>
      <c r="P34" s="2">
        <v>1.2430000000000001</v>
      </c>
      <c r="Q34" s="3">
        <f t="shared" si="4"/>
        <v>289</v>
      </c>
      <c r="R34" s="2">
        <v>4.5369999999999999</v>
      </c>
      <c r="S34" s="1">
        <v>3</v>
      </c>
      <c r="T34" s="2">
        <v>1.5123333333333333</v>
      </c>
      <c r="U34" s="3">
        <f t="shared" si="5"/>
        <v>353</v>
      </c>
      <c r="V34" s="2">
        <v>1.452</v>
      </c>
      <c r="W34" s="1">
        <v>1</v>
      </c>
      <c r="X34" s="2">
        <v>1.452</v>
      </c>
    </row>
    <row r="35" spans="1:24" x14ac:dyDescent="0.3">
      <c r="A35">
        <f t="shared" si="0"/>
        <v>34</v>
      </c>
      <c r="B35" s="2">
        <v>3.47</v>
      </c>
      <c r="C35" s="1">
        <v>2</v>
      </c>
      <c r="D35" s="2">
        <v>1.7350000000000001</v>
      </c>
      <c r="E35" s="3">
        <f t="shared" si="1"/>
        <v>98</v>
      </c>
      <c r="F35" s="2">
        <v>6.1239999999999997</v>
      </c>
      <c r="G35" s="1">
        <v>4</v>
      </c>
      <c r="H35" s="2">
        <v>1.5309999999999999</v>
      </c>
      <c r="I35" s="3">
        <f t="shared" si="2"/>
        <v>162</v>
      </c>
      <c r="J35" s="2">
        <v>1.6</v>
      </c>
      <c r="K35" s="1">
        <v>1</v>
      </c>
      <c r="L35" s="2">
        <v>1.6</v>
      </c>
      <c r="M35" s="4">
        <f t="shared" si="3"/>
        <v>226</v>
      </c>
      <c r="N35" s="2">
        <v>3.8820000000000001</v>
      </c>
      <c r="O35" s="1">
        <v>2</v>
      </c>
      <c r="P35" s="2">
        <v>1.9410000000000001</v>
      </c>
      <c r="Q35" s="3">
        <f t="shared" si="4"/>
        <v>290</v>
      </c>
      <c r="R35" s="2">
        <v>4.6440000000000001</v>
      </c>
      <c r="S35" s="1">
        <v>3</v>
      </c>
      <c r="T35" s="2">
        <v>1.548</v>
      </c>
      <c r="U35" s="3">
        <f t="shared" si="5"/>
        <v>354</v>
      </c>
      <c r="V35" s="2">
        <v>1.4690000000000001</v>
      </c>
      <c r="W35" s="1">
        <v>1</v>
      </c>
      <c r="X35" s="2">
        <v>1.4690000000000001</v>
      </c>
    </row>
    <row r="36" spans="1:24" x14ac:dyDescent="0.3">
      <c r="A36">
        <f t="shared" si="0"/>
        <v>35</v>
      </c>
      <c r="B36" s="2">
        <v>3.637</v>
      </c>
      <c r="C36" s="1">
        <v>2</v>
      </c>
      <c r="D36" s="2">
        <v>1.8185</v>
      </c>
      <c r="E36" s="3">
        <f t="shared" si="1"/>
        <v>99</v>
      </c>
      <c r="F36" s="2">
        <v>3.242</v>
      </c>
      <c r="G36" s="1">
        <v>2</v>
      </c>
      <c r="H36" s="2">
        <v>1.621</v>
      </c>
      <c r="I36" s="3">
        <f t="shared" si="2"/>
        <v>163</v>
      </c>
      <c r="J36" s="2">
        <v>4.5860000000000003</v>
      </c>
      <c r="K36" s="1">
        <v>3</v>
      </c>
      <c r="L36" s="2">
        <v>1.5286666666666668</v>
      </c>
      <c r="M36" s="4">
        <f t="shared" si="3"/>
        <v>227</v>
      </c>
      <c r="N36" s="2">
        <v>14.419</v>
      </c>
      <c r="O36" s="1">
        <v>9</v>
      </c>
      <c r="P36" s="2">
        <v>1.6021111111111113</v>
      </c>
      <c r="Q36" s="3">
        <f t="shared" si="4"/>
        <v>291</v>
      </c>
      <c r="R36" s="2">
        <v>1.5329999999999999</v>
      </c>
      <c r="S36" s="1">
        <v>1</v>
      </c>
      <c r="T36" s="2">
        <v>1.5329999999999999</v>
      </c>
      <c r="U36" s="3">
        <f t="shared" si="5"/>
        <v>355</v>
      </c>
      <c r="V36" s="2">
        <v>7.4459999999999997</v>
      </c>
      <c r="W36" s="1">
        <v>5</v>
      </c>
      <c r="X36" s="2">
        <v>1.4891999999999999</v>
      </c>
    </row>
    <row r="37" spans="1:24" x14ac:dyDescent="0.3">
      <c r="A37">
        <f t="shared" si="0"/>
        <v>36</v>
      </c>
      <c r="B37" s="2">
        <v>6.2480000000000002</v>
      </c>
      <c r="C37" s="1">
        <v>4</v>
      </c>
      <c r="D37" s="2">
        <v>1.5620000000000001</v>
      </c>
      <c r="E37" s="3">
        <f t="shared" si="1"/>
        <v>100</v>
      </c>
      <c r="F37" s="2">
        <v>3.9929999999999999</v>
      </c>
      <c r="G37" s="1">
        <v>2</v>
      </c>
      <c r="H37" s="2">
        <v>1.9964999999999999</v>
      </c>
      <c r="I37" s="3">
        <f t="shared" si="2"/>
        <v>164</v>
      </c>
      <c r="J37" s="2">
        <v>4.4710000000000001</v>
      </c>
      <c r="K37" s="1">
        <v>3</v>
      </c>
      <c r="L37" s="2">
        <v>1.4903333333333333</v>
      </c>
      <c r="M37" s="4">
        <f t="shared" si="3"/>
        <v>228</v>
      </c>
      <c r="N37" s="2">
        <v>15.449</v>
      </c>
      <c r="O37" s="1">
        <v>10</v>
      </c>
      <c r="P37" s="2">
        <v>1.5448999999999999</v>
      </c>
      <c r="Q37" s="3">
        <f t="shared" si="4"/>
        <v>292</v>
      </c>
      <c r="R37" s="2">
        <v>4.1150000000000002</v>
      </c>
      <c r="S37" s="1">
        <v>3</v>
      </c>
      <c r="T37" s="2">
        <v>1.3716666666666668</v>
      </c>
      <c r="U37" s="3">
        <f t="shared" si="5"/>
        <v>356</v>
      </c>
      <c r="V37" s="2">
        <v>1.488</v>
      </c>
      <c r="W37" s="1">
        <v>1</v>
      </c>
      <c r="X37" s="2">
        <v>1.488</v>
      </c>
    </row>
    <row r="38" spans="1:24" x14ac:dyDescent="0.3">
      <c r="A38">
        <f t="shared" si="0"/>
        <v>37</v>
      </c>
      <c r="B38" s="2">
        <v>4.5430000000000001</v>
      </c>
      <c r="C38" s="1">
        <v>3</v>
      </c>
      <c r="D38" s="2">
        <v>1.5143333333333333</v>
      </c>
      <c r="E38" s="3">
        <f t="shared" si="1"/>
        <v>101</v>
      </c>
      <c r="F38" s="2">
        <v>10.75</v>
      </c>
      <c r="G38" s="1">
        <v>7</v>
      </c>
      <c r="H38" s="2">
        <v>1.5357142857142858</v>
      </c>
      <c r="I38" s="3">
        <f t="shared" si="2"/>
        <v>165</v>
      </c>
      <c r="J38" s="2">
        <v>13.614000000000001</v>
      </c>
      <c r="K38" s="1">
        <v>9</v>
      </c>
      <c r="L38" s="2">
        <v>1.5126666666666668</v>
      </c>
      <c r="M38" s="4">
        <f t="shared" si="3"/>
        <v>229</v>
      </c>
      <c r="N38" s="2">
        <v>3.1680000000000001</v>
      </c>
      <c r="O38" s="1">
        <v>2</v>
      </c>
      <c r="P38" s="2">
        <v>1.5840000000000001</v>
      </c>
      <c r="Q38" s="3">
        <f t="shared" si="4"/>
        <v>293</v>
      </c>
      <c r="R38" s="2">
        <v>6.4580000000000002</v>
      </c>
      <c r="S38" s="1">
        <v>4</v>
      </c>
      <c r="T38" s="2">
        <v>1.6145</v>
      </c>
      <c r="U38" s="3">
        <f t="shared" si="5"/>
        <v>357</v>
      </c>
      <c r="V38" s="2">
        <v>9.3170000000000002</v>
      </c>
      <c r="W38" s="1">
        <v>6</v>
      </c>
      <c r="X38" s="2">
        <v>1.5528333333333333</v>
      </c>
    </row>
    <row r="39" spans="1:24" x14ac:dyDescent="0.3">
      <c r="A39">
        <f t="shared" si="0"/>
        <v>38</v>
      </c>
      <c r="B39" s="2">
        <v>4.7460000000000004</v>
      </c>
      <c r="C39" s="1">
        <v>3</v>
      </c>
      <c r="D39" s="2">
        <v>1.5820000000000001</v>
      </c>
      <c r="E39" s="3">
        <f t="shared" si="1"/>
        <v>102</v>
      </c>
      <c r="F39" s="2">
        <v>4.9169999999999998</v>
      </c>
      <c r="G39" s="1">
        <v>3</v>
      </c>
      <c r="H39" s="2">
        <v>1.639</v>
      </c>
      <c r="I39" s="3">
        <f t="shared" si="2"/>
        <v>166</v>
      </c>
      <c r="J39" s="2">
        <v>83.1</v>
      </c>
      <c r="K39" s="1">
        <v>52</v>
      </c>
      <c r="L39" s="2">
        <v>1.598076923076923</v>
      </c>
      <c r="M39" s="4">
        <f t="shared" si="3"/>
        <v>230</v>
      </c>
      <c r="N39" s="2">
        <v>10.781000000000001</v>
      </c>
      <c r="O39" s="1">
        <v>7</v>
      </c>
      <c r="P39" s="2">
        <v>1.5401428571428573</v>
      </c>
      <c r="Q39" s="3">
        <f t="shared" si="4"/>
        <v>294</v>
      </c>
      <c r="R39" s="2">
        <v>9.1440000000000001</v>
      </c>
      <c r="S39" s="1">
        <v>6</v>
      </c>
      <c r="T39" s="2">
        <v>1.524</v>
      </c>
      <c r="U39" s="3">
        <f t="shared" si="5"/>
        <v>358</v>
      </c>
      <c r="V39" s="2">
        <v>11.003</v>
      </c>
      <c r="W39" s="1">
        <v>7</v>
      </c>
      <c r="X39" s="2">
        <v>1.5718571428571428</v>
      </c>
    </row>
    <row r="40" spans="1:24" x14ac:dyDescent="0.3">
      <c r="A40">
        <f t="shared" si="0"/>
        <v>39</v>
      </c>
      <c r="B40" s="2">
        <v>9.2750000000000004</v>
      </c>
      <c r="C40" s="1">
        <v>6</v>
      </c>
      <c r="D40" s="2">
        <v>1.5458333333333334</v>
      </c>
      <c r="E40" s="3">
        <f t="shared" si="1"/>
        <v>103</v>
      </c>
      <c r="F40" s="2">
        <v>7.6689999999999996</v>
      </c>
      <c r="G40" s="1">
        <v>5</v>
      </c>
      <c r="H40" s="2">
        <v>1.5337999999999998</v>
      </c>
      <c r="I40" s="3">
        <f t="shared" si="2"/>
        <v>167</v>
      </c>
      <c r="J40" s="2">
        <v>6.4109999999999996</v>
      </c>
      <c r="K40" s="1">
        <v>4</v>
      </c>
      <c r="L40" s="2">
        <v>1.6027499999999999</v>
      </c>
      <c r="M40" s="4">
        <f t="shared" si="3"/>
        <v>231</v>
      </c>
      <c r="N40" s="2">
        <v>6.1550000000000002</v>
      </c>
      <c r="O40" s="1">
        <v>4</v>
      </c>
      <c r="P40" s="2">
        <v>1.5387500000000001</v>
      </c>
      <c r="Q40" s="3">
        <f t="shared" si="4"/>
        <v>295</v>
      </c>
      <c r="R40" s="2">
        <v>7.5890000000000004</v>
      </c>
      <c r="S40" s="1">
        <v>5</v>
      </c>
      <c r="T40" s="2">
        <v>1.5178</v>
      </c>
      <c r="U40" s="3">
        <f t="shared" si="5"/>
        <v>359</v>
      </c>
      <c r="V40" s="2">
        <v>3.081</v>
      </c>
      <c r="W40" s="1">
        <v>2</v>
      </c>
      <c r="X40" s="2">
        <v>1.5405</v>
      </c>
    </row>
    <row r="41" spans="1:24" x14ac:dyDescent="0.3">
      <c r="A41">
        <f t="shared" si="0"/>
        <v>40</v>
      </c>
      <c r="B41" s="2">
        <v>44.177</v>
      </c>
      <c r="C41" s="1">
        <v>28</v>
      </c>
      <c r="D41" s="2">
        <v>1.57775</v>
      </c>
      <c r="E41" s="3">
        <f t="shared" si="1"/>
        <v>104</v>
      </c>
      <c r="F41" s="2">
        <v>2.4060000000000001</v>
      </c>
      <c r="G41" s="1">
        <v>2</v>
      </c>
      <c r="H41" s="2">
        <v>1.2030000000000001</v>
      </c>
      <c r="I41" s="3">
        <f t="shared" si="2"/>
        <v>168</v>
      </c>
      <c r="J41" s="2">
        <v>23.33</v>
      </c>
      <c r="K41" s="1">
        <v>15</v>
      </c>
      <c r="L41" s="2">
        <v>1.5553333333333332</v>
      </c>
      <c r="M41" s="4">
        <f t="shared" si="3"/>
        <v>232</v>
      </c>
      <c r="N41" s="2">
        <v>10.858000000000001</v>
      </c>
      <c r="O41" s="1">
        <v>7</v>
      </c>
      <c r="P41" s="2">
        <v>1.5511428571428572</v>
      </c>
      <c r="Q41" s="3">
        <f t="shared" si="4"/>
        <v>296</v>
      </c>
      <c r="R41" s="2">
        <v>1.488</v>
      </c>
      <c r="S41" s="1">
        <v>1</v>
      </c>
      <c r="T41" s="2">
        <v>1.488</v>
      </c>
      <c r="U41" s="3">
        <f t="shared" si="5"/>
        <v>360</v>
      </c>
      <c r="V41" s="2">
        <v>7.766</v>
      </c>
      <c r="W41" s="1">
        <v>5</v>
      </c>
      <c r="X41" s="2">
        <v>1.5531999999999999</v>
      </c>
    </row>
    <row r="42" spans="1:24" x14ac:dyDescent="0.3">
      <c r="A42">
        <f t="shared" si="0"/>
        <v>41</v>
      </c>
      <c r="B42" s="2">
        <v>16.925000000000001</v>
      </c>
      <c r="C42" s="1">
        <v>11</v>
      </c>
      <c r="D42" s="2">
        <v>1.5386363636363638</v>
      </c>
      <c r="E42" s="3">
        <f t="shared" si="1"/>
        <v>105</v>
      </c>
      <c r="F42" s="2">
        <v>12.28</v>
      </c>
      <c r="G42" s="1">
        <v>8</v>
      </c>
      <c r="H42" s="2">
        <v>1.5349999999999999</v>
      </c>
      <c r="I42" s="3">
        <f t="shared" si="2"/>
        <v>169</v>
      </c>
      <c r="J42" s="2">
        <v>15.207000000000001</v>
      </c>
      <c r="K42" s="1">
        <v>10</v>
      </c>
      <c r="L42" s="2">
        <v>1.5207000000000002</v>
      </c>
      <c r="M42" s="4">
        <f t="shared" si="3"/>
        <v>233</v>
      </c>
      <c r="N42" s="2">
        <v>7.681</v>
      </c>
      <c r="O42" s="1">
        <v>5</v>
      </c>
      <c r="P42" s="2">
        <v>1.5362</v>
      </c>
      <c r="Q42" s="3">
        <f t="shared" si="4"/>
        <v>297</v>
      </c>
      <c r="R42" s="2">
        <v>6.7009999999999996</v>
      </c>
      <c r="S42" s="1">
        <v>4</v>
      </c>
      <c r="T42" s="2">
        <v>1.6752499999999999</v>
      </c>
      <c r="U42" s="3">
        <f t="shared" si="5"/>
        <v>361</v>
      </c>
      <c r="V42" s="2">
        <v>3.1120000000000001</v>
      </c>
      <c r="W42" s="1">
        <v>2</v>
      </c>
      <c r="X42" s="2">
        <v>1.556</v>
      </c>
    </row>
    <row r="43" spans="1:24" x14ac:dyDescent="0.3">
      <c r="A43">
        <f t="shared" si="0"/>
        <v>42</v>
      </c>
      <c r="B43" s="2">
        <v>1.39</v>
      </c>
      <c r="C43" s="1">
        <v>1</v>
      </c>
      <c r="D43" s="2">
        <v>1.39</v>
      </c>
      <c r="E43" s="3">
        <f t="shared" si="1"/>
        <v>106</v>
      </c>
      <c r="F43" s="2">
        <v>3.05</v>
      </c>
      <c r="G43" s="1">
        <v>2</v>
      </c>
      <c r="H43" s="2">
        <v>1.5249999999999999</v>
      </c>
      <c r="I43" s="3">
        <f t="shared" si="2"/>
        <v>170</v>
      </c>
      <c r="J43" s="2">
        <v>17.306000000000001</v>
      </c>
      <c r="K43" s="1">
        <v>11</v>
      </c>
      <c r="L43" s="2">
        <v>1.5732727272727274</v>
      </c>
      <c r="M43" s="4">
        <f t="shared" si="3"/>
        <v>234</v>
      </c>
      <c r="N43" s="2">
        <v>3.09</v>
      </c>
      <c r="O43" s="1">
        <v>2</v>
      </c>
      <c r="P43" s="2">
        <v>1.5449999999999999</v>
      </c>
      <c r="Q43" s="3">
        <f t="shared" si="4"/>
        <v>298</v>
      </c>
      <c r="R43" s="2">
        <v>1.534</v>
      </c>
      <c r="S43" s="1">
        <v>1</v>
      </c>
      <c r="T43" s="2">
        <v>1.534</v>
      </c>
      <c r="U43" s="3">
        <f t="shared" si="5"/>
        <v>362</v>
      </c>
      <c r="V43" s="2">
        <v>9.4499999999999993</v>
      </c>
      <c r="W43" s="1">
        <v>6</v>
      </c>
      <c r="X43" s="2">
        <v>1.575</v>
      </c>
    </row>
    <row r="44" spans="1:24" x14ac:dyDescent="0.3">
      <c r="A44">
        <f t="shared" si="0"/>
        <v>43</v>
      </c>
      <c r="B44" s="2">
        <v>3.8959999999999999</v>
      </c>
      <c r="C44" s="1">
        <v>2</v>
      </c>
      <c r="D44" s="2">
        <v>1.948</v>
      </c>
      <c r="E44" s="3">
        <f t="shared" si="1"/>
        <v>107</v>
      </c>
      <c r="F44" s="2">
        <v>6.1970000000000001</v>
      </c>
      <c r="G44" s="1">
        <v>4</v>
      </c>
      <c r="H44" s="2">
        <v>1.54925</v>
      </c>
      <c r="I44" s="3">
        <f t="shared" si="2"/>
        <v>171</v>
      </c>
      <c r="J44" s="2">
        <v>66.736000000000004</v>
      </c>
      <c r="K44" s="1">
        <v>42</v>
      </c>
      <c r="L44" s="2">
        <v>1.5889523809523811</v>
      </c>
      <c r="M44" s="4">
        <f t="shared" si="3"/>
        <v>235</v>
      </c>
      <c r="N44" s="2">
        <v>3.06</v>
      </c>
      <c r="O44" s="1">
        <v>2</v>
      </c>
      <c r="P44" s="2">
        <v>1.53</v>
      </c>
      <c r="Q44" s="3">
        <f t="shared" si="4"/>
        <v>299</v>
      </c>
      <c r="R44" s="2">
        <v>6.6</v>
      </c>
      <c r="S44" s="1">
        <v>4</v>
      </c>
      <c r="T44" s="2">
        <v>1.65</v>
      </c>
      <c r="U44" s="3">
        <f t="shared" si="5"/>
        <v>363</v>
      </c>
      <c r="V44" s="2">
        <v>9.2769999999999992</v>
      </c>
      <c r="W44" s="1">
        <v>6</v>
      </c>
      <c r="X44" s="2">
        <v>1.5461666666666665</v>
      </c>
    </row>
    <row r="45" spans="1:24" x14ac:dyDescent="0.3">
      <c r="A45">
        <f t="shared" si="0"/>
        <v>44</v>
      </c>
      <c r="B45" s="2">
        <v>2.0059999999999998</v>
      </c>
      <c r="C45" s="1">
        <v>1</v>
      </c>
      <c r="D45" s="2">
        <v>2.0059999999999998</v>
      </c>
      <c r="E45" s="3">
        <f t="shared" si="1"/>
        <v>108</v>
      </c>
      <c r="F45" s="2">
        <v>3.05</v>
      </c>
      <c r="G45" s="1">
        <v>2</v>
      </c>
      <c r="H45" s="2">
        <v>1.5249999999999999</v>
      </c>
      <c r="I45" s="3">
        <f t="shared" si="2"/>
        <v>172</v>
      </c>
      <c r="J45" s="2">
        <v>17.471</v>
      </c>
      <c r="K45" s="1">
        <v>11</v>
      </c>
      <c r="L45" s="2">
        <v>1.5882727272727273</v>
      </c>
      <c r="M45" s="4">
        <f t="shared" si="3"/>
        <v>236</v>
      </c>
      <c r="N45" s="2">
        <v>32.499000000000002</v>
      </c>
      <c r="O45" s="1">
        <v>20</v>
      </c>
      <c r="P45" s="2">
        <v>1.6249500000000001</v>
      </c>
      <c r="Q45" s="3">
        <f t="shared" si="4"/>
        <v>300</v>
      </c>
      <c r="R45" s="2">
        <v>3.4860000000000002</v>
      </c>
      <c r="S45" s="1">
        <v>2</v>
      </c>
      <c r="T45" s="2">
        <v>1.7430000000000001</v>
      </c>
      <c r="U45" s="3">
        <f t="shared" si="5"/>
        <v>364</v>
      </c>
      <c r="V45" s="2">
        <v>4.6890000000000001</v>
      </c>
      <c r="W45" s="1">
        <v>3</v>
      </c>
      <c r="X45" s="2">
        <v>1.5629999999999999</v>
      </c>
    </row>
    <row r="46" spans="1:24" x14ac:dyDescent="0.3">
      <c r="A46">
        <f t="shared" si="0"/>
        <v>45</v>
      </c>
      <c r="B46" s="2">
        <v>3.1669999999999998</v>
      </c>
      <c r="C46" s="1">
        <v>2</v>
      </c>
      <c r="D46" s="2">
        <v>1.5834999999999999</v>
      </c>
      <c r="E46" s="3">
        <f t="shared" si="1"/>
        <v>109</v>
      </c>
      <c r="F46" s="2">
        <v>6.0229999999999997</v>
      </c>
      <c r="G46" s="1">
        <v>4</v>
      </c>
      <c r="H46" s="2">
        <v>1.5057499999999999</v>
      </c>
      <c r="I46" s="3">
        <f t="shared" si="2"/>
        <v>173</v>
      </c>
      <c r="J46" s="2">
        <v>6.2839999999999998</v>
      </c>
      <c r="K46" s="1">
        <v>4</v>
      </c>
      <c r="L46" s="2">
        <v>1.571</v>
      </c>
      <c r="M46" s="4">
        <f t="shared" si="3"/>
        <v>237</v>
      </c>
      <c r="N46" s="2">
        <v>12.734</v>
      </c>
      <c r="O46" s="1">
        <v>8</v>
      </c>
      <c r="P46" s="2">
        <v>1.59175</v>
      </c>
      <c r="Q46" s="3">
        <f t="shared" si="4"/>
        <v>301</v>
      </c>
      <c r="R46" s="2">
        <v>6.1639999999999997</v>
      </c>
      <c r="S46" s="1">
        <v>4</v>
      </c>
      <c r="T46" s="2">
        <v>1.5409999999999999</v>
      </c>
      <c r="U46" s="3">
        <f t="shared" si="5"/>
        <v>365</v>
      </c>
      <c r="V46" s="2">
        <v>4.6760000000000002</v>
      </c>
      <c r="W46" s="1">
        <v>3</v>
      </c>
      <c r="X46" s="2">
        <v>1.5586666666666666</v>
      </c>
    </row>
    <row r="47" spans="1:24" x14ac:dyDescent="0.3">
      <c r="A47">
        <f t="shared" si="0"/>
        <v>46</v>
      </c>
      <c r="B47" s="2">
        <v>7.3789999999999996</v>
      </c>
      <c r="C47" s="1">
        <v>5</v>
      </c>
      <c r="D47" s="2">
        <v>1.4758</v>
      </c>
      <c r="E47" s="3">
        <f t="shared" si="1"/>
        <v>110</v>
      </c>
      <c r="F47" s="2">
        <v>10.823</v>
      </c>
      <c r="G47" s="1">
        <v>7</v>
      </c>
      <c r="H47" s="2">
        <v>1.5461428571428573</v>
      </c>
      <c r="I47" s="3">
        <f t="shared" si="2"/>
        <v>174</v>
      </c>
      <c r="J47" s="2">
        <v>24.004000000000001</v>
      </c>
      <c r="K47" s="1">
        <v>15</v>
      </c>
      <c r="L47" s="2">
        <v>1.6002666666666667</v>
      </c>
      <c r="M47" s="4">
        <f t="shared" si="3"/>
        <v>238</v>
      </c>
      <c r="N47" s="2">
        <v>9.4109999999999996</v>
      </c>
      <c r="O47" s="1">
        <v>6</v>
      </c>
      <c r="P47" s="2">
        <v>1.5685</v>
      </c>
      <c r="Q47" s="3">
        <f t="shared" si="4"/>
        <v>302</v>
      </c>
      <c r="R47" s="2">
        <v>9.7360000000000007</v>
      </c>
      <c r="S47" s="1">
        <v>6</v>
      </c>
      <c r="T47" s="2">
        <v>1.6226666666666667</v>
      </c>
      <c r="U47" s="3">
        <f t="shared" si="5"/>
        <v>366</v>
      </c>
      <c r="V47" s="2">
        <v>4.7709999999999999</v>
      </c>
      <c r="W47" s="1">
        <v>3</v>
      </c>
      <c r="X47" s="2">
        <v>1.5903333333333334</v>
      </c>
    </row>
    <row r="48" spans="1:24" x14ac:dyDescent="0.3">
      <c r="A48">
        <f t="shared" si="0"/>
        <v>47</v>
      </c>
      <c r="B48" s="2">
        <v>9.6780000000000008</v>
      </c>
      <c r="C48" s="1">
        <v>6</v>
      </c>
      <c r="D48" s="2">
        <v>1.6130000000000002</v>
      </c>
      <c r="E48" s="3">
        <f t="shared" si="1"/>
        <v>111</v>
      </c>
      <c r="F48" s="2">
        <v>4.6109999999999998</v>
      </c>
      <c r="G48" s="1">
        <v>3</v>
      </c>
      <c r="H48" s="2">
        <v>1.5369999999999999</v>
      </c>
      <c r="I48" s="3">
        <f t="shared" si="2"/>
        <v>175</v>
      </c>
      <c r="J48" s="2">
        <v>21.032</v>
      </c>
      <c r="K48" s="1">
        <v>13</v>
      </c>
      <c r="L48" s="2">
        <v>1.6178461538461539</v>
      </c>
      <c r="M48" s="4">
        <f t="shared" si="3"/>
        <v>239</v>
      </c>
      <c r="N48" s="2">
        <v>9.6300000000000008</v>
      </c>
      <c r="O48" s="1">
        <v>6</v>
      </c>
      <c r="P48" s="2">
        <v>1.6050000000000002</v>
      </c>
      <c r="Q48" s="3">
        <f t="shared" si="4"/>
        <v>303</v>
      </c>
      <c r="R48" s="2">
        <v>4.6429999999999998</v>
      </c>
      <c r="S48" s="1">
        <v>3</v>
      </c>
      <c r="T48" s="2">
        <v>1.5476666666666665</v>
      </c>
      <c r="U48" s="3">
        <f t="shared" si="5"/>
        <v>367</v>
      </c>
      <c r="V48" s="2">
        <v>6.2560000000000002</v>
      </c>
      <c r="W48" s="1">
        <v>4</v>
      </c>
      <c r="X48" s="2">
        <v>1.5640000000000001</v>
      </c>
    </row>
    <row r="49" spans="1:24" x14ac:dyDescent="0.3">
      <c r="A49">
        <f t="shared" si="0"/>
        <v>48</v>
      </c>
      <c r="B49" s="2">
        <v>3.6669999999999998</v>
      </c>
      <c r="C49" s="1">
        <v>2</v>
      </c>
      <c r="D49" s="2">
        <v>1.8334999999999999</v>
      </c>
      <c r="E49" s="3">
        <f t="shared" si="1"/>
        <v>112</v>
      </c>
      <c r="F49" s="2">
        <v>3.1379999999999999</v>
      </c>
      <c r="G49" s="1">
        <v>2</v>
      </c>
      <c r="H49" s="2">
        <v>1.569</v>
      </c>
      <c r="I49" s="3">
        <f t="shared" si="2"/>
        <v>176</v>
      </c>
      <c r="J49" s="2">
        <v>4.5309999999999997</v>
      </c>
      <c r="K49" s="1">
        <v>3</v>
      </c>
      <c r="L49" s="2">
        <v>1.5103333333333333</v>
      </c>
      <c r="M49" s="4">
        <f t="shared" si="3"/>
        <v>240</v>
      </c>
      <c r="N49" s="2">
        <v>12.157999999999999</v>
      </c>
      <c r="O49" s="1">
        <v>8</v>
      </c>
      <c r="P49" s="2">
        <v>1.5197499999999999</v>
      </c>
      <c r="Q49" s="3">
        <f t="shared" si="4"/>
        <v>304</v>
      </c>
      <c r="R49" s="2">
        <v>3.1139999999999999</v>
      </c>
      <c r="S49" s="1">
        <v>2</v>
      </c>
      <c r="T49" s="2">
        <v>1.5569999999999999</v>
      </c>
      <c r="U49" s="3">
        <f t="shared" si="5"/>
        <v>368</v>
      </c>
      <c r="V49" s="2">
        <v>7.7050000000000001</v>
      </c>
      <c r="W49" s="1">
        <v>5</v>
      </c>
      <c r="X49" s="2">
        <v>1.5409999999999999</v>
      </c>
    </row>
    <row r="50" spans="1:24" x14ac:dyDescent="0.3">
      <c r="A50">
        <f t="shared" si="0"/>
        <v>49</v>
      </c>
      <c r="B50" s="2">
        <v>4.9000000000000004</v>
      </c>
      <c r="C50" s="1">
        <v>3</v>
      </c>
      <c r="D50" s="2">
        <v>1.6333333333333335</v>
      </c>
      <c r="E50" s="3">
        <f t="shared" si="1"/>
        <v>113</v>
      </c>
      <c r="F50" s="2">
        <v>4.492</v>
      </c>
      <c r="G50" s="1">
        <v>3</v>
      </c>
      <c r="H50" s="2">
        <v>1.4973333333333334</v>
      </c>
      <c r="I50" s="3">
        <f t="shared" si="2"/>
        <v>177</v>
      </c>
      <c r="J50" s="2">
        <v>3.0169999999999999</v>
      </c>
      <c r="K50" s="1">
        <v>2</v>
      </c>
      <c r="L50" s="2">
        <v>1.5085</v>
      </c>
      <c r="M50" s="4">
        <f t="shared" si="3"/>
        <v>241</v>
      </c>
      <c r="N50" s="2">
        <v>6.1029999999999998</v>
      </c>
      <c r="O50" s="1">
        <v>4</v>
      </c>
      <c r="P50" s="2">
        <v>1.5257499999999999</v>
      </c>
      <c r="Q50" s="3">
        <f t="shared" si="4"/>
        <v>305</v>
      </c>
      <c r="R50" s="2">
        <v>4.6619999999999999</v>
      </c>
      <c r="S50" s="1">
        <v>3</v>
      </c>
      <c r="T50" s="2">
        <v>1.554</v>
      </c>
      <c r="U50" s="3">
        <f t="shared" si="5"/>
        <v>369</v>
      </c>
      <c r="V50" s="2">
        <v>16.904</v>
      </c>
      <c r="W50" s="1">
        <v>11</v>
      </c>
      <c r="X50" s="2">
        <v>1.5367272727272727</v>
      </c>
    </row>
    <row r="51" spans="1:24" x14ac:dyDescent="0.3">
      <c r="A51">
        <f t="shared" si="0"/>
        <v>50</v>
      </c>
      <c r="B51" s="2">
        <v>7.4640000000000004</v>
      </c>
      <c r="C51" s="1">
        <v>5</v>
      </c>
      <c r="D51" s="2">
        <v>1.4928000000000001</v>
      </c>
      <c r="E51" s="3">
        <f t="shared" si="1"/>
        <v>114</v>
      </c>
      <c r="F51" s="2">
        <v>1.4810000000000001</v>
      </c>
      <c r="G51" s="1">
        <v>1</v>
      </c>
      <c r="H51" s="2">
        <v>1.4810000000000001</v>
      </c>
      <c r="I51" s="3">
        <f t="shared" si="2"/>
        <v>178</v>
      </c>
      <c r="J51" s="2">
        <v>11.680999999999999</v>
      </c>
      <c r="K51" s="1">
        <v>7</v>
      </c>
      <c r="L51" s="2">
        <v>1.6687142857142856</v>
      </c>
      <c r="M51" s="4">
        <f t="shared" si="3"/>
        <v>242</v>
      </c>
      <c r="N51" s="2">
        <v>4.726</v>
      </c>
      <c r="O51" s="1">
        <v>3</v>
      </c>
      <c r="P51" s="2">
        <v>1.5753333333333333</v>
      </c>
      <c r="Q51" s="3">
        <f t="shared" si="4"/>
        <v>306</v>
      </c>
      <c r="R51" s="2">
        <v>17.239000000000001</v>
      </c>
      <c r="S51" s="1">
        <v>11</v>
      </c>
      <c r="T51" s="2">
        <v>1.5671818181818182</v>
      </c>
      <c r="U51" s="3">
        <f t="shared" si="5"/>
        <v>370</v>
      </c>
      <c r="V51" s="2">
        <v>7.726</v>
      </c>
      <c r="W51" s="1">
        <v>5</v>
      </c>
      <c r="X51" s="2">
        <v>1.5451999999999999</v>
      </c>
    </row>
    <row r="52" spans="1:24" x14ac:dyDescent="0.3">
      <c r="A52">
        <f t="shared" si="0"/>
        <v>51</v>
      </c>
      <c r="B52" s="2">
        <v>9.1189999999999998</v>
      </c>
      <c r="C52" s="1">
        <v>6</v>
      </c>
      <c r="D52" s="2">
        <v>1.5198333333333334</v>
      </c>
      <c r="E52" s="3">
        <f t="shared" si="1"/>
        <v>115</v>
      </c>
      <c r="F52" s="2">
        <v>1.5469999999999999</v>
      </c>
      <c r="G52" s="1">
        <v>1</v>
      </c>
      <c r="H52" s="2">
        <v>1.5469999999999999</v>
      </c>
      <c r="I52" s="3">
        <f t="shared" si="2"/>
        <v>179</v>
      </c>
      <c r="J52" s="2">
        <v>48.47</v>
      </c>
      <c r="K52" s="1">
        <v>30</v>
      </c>
      <c r="L52" s="2">
        <v>1.6156666666666666</v>
      </c>
      <c r="M52" s="4">
        <f t="shared" si="3"/>
        <v>243</v>
      </c>
      <c r="N52" s="2">
        <v>21.518000000000001</v>
      </c>
      <c r="O52" s="1">
        <v>13</v>
      </c>
      <c r="P52" s="2">
        <v>1.6552307692307693</v>
      </c>
      <c r="Q52" s="3">
        <f t="shared" si="4"/>
        <v>307</v>
      </c>
      <c r="R52" s="2">
        <v>18.931999999999999</v>
      </c>
      <c r="S52" s="1">
        <v>12</v>
      </c>
      <c r="T52" s="2">
        <v>1.5776666666666666</v>
      </c>
      <c r="U52" s="3">
        <f t="shared" si="5"/>
        <v>371</v>
      </c>
      <c r="V52" s="2">
        <v>6.12</v>
      </c>
      <c r="W52" s="1">
        <v>4</v>
      </c>
      <c r="X52" s="2">
        <v>1.53</v>
      </c>
    </row>
    <row r="53" spans="1:24" x14ac:dyDescent="0.3">
      <c r="A53">
        <f t="shared" si="0"/>
        <v>52</v>
      </c>
      <c r="B53" s="2">
        <v>1.8580000000000001</v>
      </c>
      <c r="C53" s="1">
        <v>1</v>
      </c>
      <c r="D53" s="2">
        <v>1.8580000000000001</v>
      </c>
      <c r="E53" s="3">
        <f t="shared" si="1"/>
        <v>116</v>
      </c>
      <c r="F53" s="2">
        <v>22.852</v>
      </c>
      <c r="G53" s="1">
        <v>14</v>
      </c>
      <c r="H53" s="2">
        <v>1.6322857142857143</v>
      </c>
      <c r="I53" s="3">
        <f t="shared" si="2"/>
        <v>180</v>
      </c>
      <c r="J53" s="2">
        <v>40.884</v>
      </c>
      <c r="K53" s="1">
        <v>26</v>
      </c>
      <c r="L53" s="2">
        <v>1.5724615384615386</v>
      </c>
      <c r="M53" s="4">
        <f t="shared" si="3"/>
        <v>244</v>
      </c>
      <c r="N53" s="2">
        <v>4.617</v>
      </c>
      <c r="O53" s="1">
        <v>3</v>
      </c>
      <c r="P53" s="2">
        <v>1.5389999999999999</v>
      </c>
      <c r="Q53" s="3">
        <f t="shared" si="4"/>
        <v>308</v>
      </c>
      <c r="R53" s="2">
        <v>15.311</v>
      </c>
      <c r="S53" s="1">
        <v>10</v>
      </c>
      <c r="T53" s="2">
        <v>1.5310999999999999</v>
      </c>
      <c r="U53" s="3">
        <f t="shared" si="5"/>
        <v>372</v>
      </c>
      <c r="V53" s="2">
        <v>3.1110000000000002</v>
      </c>
      <c r="W53" s="1">
        <v>2</v>
      </c>
      <c r="X53" s="2">
        <v>1.5555000000000001</v>
      </c>
    </row>
    <row r="54" spans="1:24" x14ac:dyDescent="0.3">
      <c r="A54">
        <f t="shared" si="0"/>
        <v>53</v>
      </c>
      <c r="B54" s="2">
        <v>3.3260000000000001</v>
      </c>
      <c r="C54" s="1">
        <v>2</v>
      </c>
      <c r="D54" s="2">
        <v>1.663</v>
      </c>
      <c r="E54" s="3">
        <f t="shared" si="1"/>
        <v>117</v>
      </c>
      <c r="F54" s="2">
        <v>17.222000000000001</v>
      </c>
      <c r="G54" s="1">
        <v>11</v>
      </c>
      <c r="H54" s="2">
        <v>1.5656363636363637</v>
      </c>
      <c r="I54" s="3">
        <f t="shared" si="2"/>
        <v>181</v>
      </c>
      <c r="J54" s="2">
        <v>18.161999999999999</v>
      </c>
      <c r="K54" s="1">
        <v>11</v>
      </c>
      <c r="L54" s="2">
        <v>1.6510909090909089</v>
      </c>
      <c r="M54" s="4">
        <f t="shared" si="3"/>
        <v>245</v>
      </c>
      <c r="N54" s="2">
        <v>2.94</v>
      </c>
      <c r="O54" s="1">
        <v>2</v>
      </c>
      <c r="P54" s="2">
        <v>1.47</v>
      </c>
      <c r="Q54" s="3">
        <f t="shared" si="4"/>
        <v>309</v>
      </c>
      <c r="R54" s="2">
        <v>6.2140000000000004</v>
      </c>
      <c r="S54" s="1">
        <v>4</v>
      </c>
      <c r="T54" s="2">
        <v>1.5535000000000001</v>
      </c>
      <c r="U54" s="3">
        <f t="shared" si="5"/>
        <v>373</v>
      </c>
      <c r="V54" s="2">
        <v>12.191000000000001</v>
      </c>
      <c r="W54" s="1">
        <v>8</v>
      </c>
      <c r="X54" s="2">
        <v>1.5238750000000001</v>
      </c>
    </row>
    <row r="55" spans="1:24" x14ac:dyDescent="0.3">
      <c r="A55">
        <f t="shared" si="0"/>
        <v>54</v>
      </c>
      <c r="B55" s="2">
        <v>3.1890000000000001</v>
      </c>
      <c r="C55" s="1">
        <v>2</v>
      </c>
      <c r="D55" s="2">
        <v>1.5945</v>
      </c>
      <c r="E55" s="3">
        <f t="shared" si="1"/>
        <v>118</v>
      </c>
      <c r="F55" s="2">
        <v>3.0110000000000001</v>
      </c>
      <c r="G55" s="1">
        <v>2</v>
      </c>
      <c r="H55" s="2">
        <v>1.5055000000000001</v>
      </c>
      <c r="I55" s="3">
        <f t="shared" si="2"/>
        <v>182</v>
      </c>
      <c r="J55" s="2">
        <v>17.28</v>
      </c>
      <c r="K55" s="1">
        <v>11</v>
      </c>
      <c r="L55" s="2">
        <v>1.570909090909091</v>
      </c>
      <c r="M55" s="4">
        <f t="shared" si="3"/>
        <v>246</v>
      </c>
      <c r="N55" s="2">
        <v>19.885000000000002</v>
      </c>
      <c r="O55" s="1">
        <v>12</v>
      </c>
      <c r="P55" s="2">
        <v>1.6570833333333335</v>
      </c>
      <c r="Q55" s="3">
        <f t="shared" si="4"/>
        <v>310</v>
      </c>
      <c r="R55" s="2">
        <v>7.4009999999999998</v>
      </c>
      <c r="S55" s="1">
        <v>5</v>
      </c>
      <c r="T55" s="2">
        <v>1.4802</v>
      </c>
      <c r="U55" s="3">
        <f t="shared" si="5"/>
        <v>374</v>
      </c>
      <c r="V55" s="2">
        <v>11.201000000000001</v>
      </c>
      <c r="W55" s="1">
        <v>7</v>
      </c>
      <c r="X55" s="2">
        <v>1.6001428571428573</v>
      </c>
    </row>
    <row r="56" spans="1:24" x14ac:dyDescent="0.3">
      <c r="A56">
        <f t="shared" si="0"/>
        <v>55</v>
      </c>
      <c r="B56" s="2">
        <v>1.5840000000000001</v>
      </c>
      <c r="C56" s="1">
        <v>1</v>
      </c>
      <c r="D56" s="2">
        <v>1.5840000000000001</v>
      </c>
      <c r="E56" s="3">
        <f t="shared" si="1"/>
        <v>119</v>
      </c>
      <c r="F56" s="2">
        <v>12.297000000000001</v>
      </c>
      <c r="G56" s="1">
        <v>8</v>
      </c>
      <c r="H56" s="2">
        <v>1.5371250000000001</v>
      </c>
      <c r="I56" s="3">
        <f t="shared" si="2"/>
        <v>183</v>
      </c>
      <c r="J56" s="2">
        <v>16.742999999999999</v>
      </c>
      <c r="K56" s="1">
        <v>10</v>
      </c>
      <c r="L56" s="2">
        <v>1.6742999999999999</v>
      </c>
      <c r="M56" s="4">
        <f t="shared" si="3"/>
        <v>247</v>
      </c>
      <c r="N56" s="2">
        <v>15.603999999999999</v>
      </c>
      <c r="O56" s="1">
        <v>10</v>
      </c>
      <c r="P56" s="2">
        <v>1.5604</v>
      </c>
      <c r="Q56" s="3">
        <f t="shared" si="4"/>
        <v>311</v>
      </c>
      <c r="R56" s="2">
        <v>4.6340000000000003</v>
      </c>
      <c r="S56" s="1">
        <v>3</v>
      </c>
      <c r="T56" s="2">
        <v>1.5446666666666669</v>
      </c>
      <c r="U56" s="3">
        <f t="shared" si="5"/>
        <v>375</v>
      </c>
      <c r="V56" s="2">
        <v>14.706</v>
      </c>
      <c r="W56" s="1">
        <v>9</v>
      </c>
      <c r="X56" s="2">
        <v>1.6339999999999999</v>
      </c>
    </row>
    <row r="57" spans="1:24" x14ac:dyDescent="0.3">
      <c r="A57">
        <f t="shared" si="0"/>
        <v>56</v>
      </c>
      <c r="B57" s="2">
        <v>1.63</v>
      </c>
      <c r="C57" s="1">
        <v>1</v>
      </c>
      <c r="D57" s="2">
        <v>1.63</v>
      </c>
      <c r="E57" s="3">
        <f t="shared" si="1"/>
        <v>120</v>
      </c>
      <c r="F57" s="2">
        <v>9.2430000000000003</v>
      </c>
      <c r="G57" s="1">
        <v>6</v>
      </c>
      <c r="H57" s="2">
        <v>1.5405</v>
      </c>
      <c r="I57" s="3">
        <f t="shared" si="2"/>
        <v>184</v>
      </c>
      <c r="J57" s="2">
        <v>3.0449999999999999</v>
      </c>
      <c r="K57" s="1">
        <v>2</v>
      </c>
      <c r="L57" s="2">
        <v>1.5225</v>
      </c>
      <c r="M57" s="4">
        <f t="shared" si="3"/>
        <v>248</v>
      </c>
      <c r="N57" s="2">
        <v>4.5259999999999998</v>
      </c>
      <c r="O57" s="1">
        <v>3</v>
      </c>
      <c r="P57" s="2">
        <v>1.5086666666666666</v>
      </c>
      <c r="Q57" s="3">
        <f t="shared" si="4"/>
        <v>312</v>
      </c>
      <c r="R57" s="2">
        <v>7.5369999999999999</v>
      </c>
      <c r="S57" s="1">
        <v>5</v>
      </c>
      <c r="T57" s="2">
        <v>1.5074000000000001</v>
      </c>
      <c r="U57" s="3">
        <f t="shared" si="5"/>
        <v>376</v>
      </c>
      <c r="V57" s="2">
        <v>16.581</v>
      </c>
      <c r="W57" s="1">
        <v>10</v>
      </c>
      <c r="X57" s="2">
        <v>1.6580999999999999</v>
      </c>
    </row>
    <row r="58" spans="1:24" x14ac:dyDescent="0.3">
      <c r="A58">
        <f t="shared" si="0"/>
        <v>57</v>
      </c>
      <c r="B58" s="2">
        <v>7.8040000000000003</v>
      </c>
      <c r="C58" s="1">
        <v>5</v>
      </c>
      <c r="D58" s="2">
        <v>1.5608</v>
      </c>
      <c r="E58" s="3">
        <f t="shared" si="1"/>
        <v>121</v>
      </c>
      <c r="F58" s="2">
        <v>7.1950000000000003</v>
      </c>
      <c r="G58" s="1">
        <v>4</v>
      </c>
      <c r="H58" s="2">
        <v>1.7987500000000001</v>
      </c>
      <c r="I58" s="3">
        <f t="shared" si="2"/>
        <v>185</v>
      </c>
      <c r="J58" s="2">
        <v>1.62</v>
      </c>
      <c r="K58" s="1">
        <v>1</v>
      </c>
      <c r="L58" s="2">
        <v>1.62</v>
      </c>
      <c r="M58" s="4">
        <f t="shared" si="3"/>
        <v>249</v>
      </c>
      <c r="N58" s="2">
        <v>4.5549999999999997</v>
      </c>
      <c r="O58" s="1">
        <v>3</v>
      </c>
      <c r="P58" s="2">
        <v>1.5183333333333333</v>
      </c>
      <c r="Q58" s="3">
        <f t="shared" si="4"/>
        <v>313</v>
      </c>
      <c r="R58" s="2">
        <v>1.0244</v>
      </c>
      <c r="S58" s="1">
        <v>1</v>
      </c>
      <c r="T58" s="2">
        <v>1.0244</v>
      </c>
      <c r="U58" s="3">
        <f t="shared" si="5"/>
        <v>377</v>
      </c>
      <c r="V58" s="2">
        <v>4.9610000000000003</v>
      </c>
      <c r="W58" s="1">
        <v>3</v>
      </c>
      <c r="X58" s="2">
        <v>1.6536666666666668</v>
      </c>
    </row>
    <row r="59" spans="1:24" x14ac:dyDescent="0.3">
      <c r="A59">
        <f t="shared" si="0"/>
        <v>58</v>
      </c>
      <c r="B59" s="2">
        <v>1.577</v>
      </c>
      <c r="C59" s="1">
        <v>1</v>
      </c>
      <c r="D59" s="2">
        <v>1.577</v>
      </c>
      <c r="E59" s="3">
        <f t="shared" si="1"/>
        <v>122</v>
      </c>
      <c r="F59" s="2">
        <v>6.226</v>
      </c>
      <c r="G59" s="1">
        <v>4</v>
      </c>
      <c r="H59" s="2">
        <v>1.5565</v>
      </c>
      <c r="I59" s="3">
        <f t="shared" si="2"/>
        <v>186</v>
      </c>
      <c r="J59" s="2">
        <v>1.548</v>
      </c>
      <c r="K59" s="1">
        <v>1</v>
      </c>
      <c r="L59" s="2">
        <v>1.548</v>
      </c>
      <c r="M59" s="4">
        <f t="shared" si="3"/>
        <v>250</v>
      </c>
      <c r="N59" s="2">
        <v>26.295999999999999</v>
      </c>
      <c r="O59" s="1">
        <v>16</v>
      </c>
      <c r="P59" s="2">
        <v>1.6435</v>
      </c>
      <c r="Q59" s="3">
        <f t="shared" si="4"/>
        <v>314</v>
      </c>
      <c r="R59" s="2">
        <v>5.9</v>
      </c>
      <c r="S59" s="1">
        <v>4</v>
      </c>
      <c r="T59" s="2">
        <v>1.4750000000000001</v>
      </c>
      <c r="U59" s="3">
        <f t="shared" si="5"/>
        <v>378</v>
      </c>
      <c r="V59" s="2">
        <v>6.2279999999999998</v>
      </c>
      <c r="W59" s="1">
        <v>4</v>
      </c>
      <c r="X59" s="2">
        <v>1.5569999999999999</v>
      </c>
    </row>
    <row r="60" spans="1:24" x14ac:dyDescent="0.3">
      <c r="A60">
        <f t="shared" si="0"/>
        <v>59</v>
      </c>
      <c r="B60" s="2">
        <v>4.7460000000000004</v>
      </c>
      <c r="C60" s="1">
        <v>3</v>
      </c>
      <c r="D60" s="2">
        <v>1.5820000000000001</v>
      </c>
      <c r="E60" s="3">
        <f t="shared" si="1"/>
        <v>123</v>
      </c>
      <c r="F60" s="2">
        <v>28.181999999999999</v>
      </c>
      <c r="G60" s="1">
        <v>18</v>
      </c>
      <c r="H60" s="2">
        <v>1.5656666666666665</v>
      </c>
      <c r="I60" s="3">
        <f t="shared" si="2"/>
        <v>187</v>
      </c>
      <c r="J60" s="2">
        <v>1.482</v>
      </c>
      <c r="K60" s="1">
        <v>1</v>
      </c>
      <c r="L60" s="2">
        <v>1.482</v>
      </c>
      <c r="M60" s="4">
        <f t="shared" si="3"/>
        <v>251</v>
      </c>
      <c r="N60" s="2">
        <v>20.802</v>
      </c>
      <c r="O60" s="1">
        <v>13</v>
      </c>
      <c r="P60" s="2">
        <v>1.600153846153846</v>
      </c>
      <c r="Q60" s="3">
        <f t="shared" si="4"/>
        <v>315</v>
      </c>
      <c r="R60" s="2">
        <v>4.49</v>
      </c>
      <c r="S60" s="1">
        <v>3</v>
      </c>
      <c r="T60" s="2">
        <v>1.4966666666666668</v>
      </c>
      <c r="U60" s="3">
        <f t="shared" si="5"/>
        <v>379</v>
      </c>
      <c r="V60" s="2">
        <v>21.001000000000001</v>
      </c>
      <c r="W60" s="1">
        <v>13</v>
      </c>
      <c r="X60" s="2">
        <v>1.6154615384615385</v>
      </c>
    </row>
    <row r="61" spans="1:24" x14ac:dyDescent="0.3">
      <c r="A61">
        <f t="shared" si="0"/>
        <v>60</v>
      </c>
      <c r="B61" s="2">
        <v>6.3239999999999998</v>
      </c>
      <c r="C61" s="1">
        <v>4</v>
      </c>
      <c r="D61" s="2">
        <v>1.581</v>
      </c>
      <c r="E61" s="3">
        <f t="shared" si="1"/>
        <v>124</v>
      </c>
      <c r="F61" s="2">
        <v>1.492</v>
      </c>
      <c r="G61" s="1">
        <v>1</v>
      </c>
      <c r="H61" s="2">
        <v>1.492</v>
      </c>
      <c r="I61" s="3">
        <f t="shared" si="2"/>
        <v>188</v>
      </c>
      <c r="J61" s="2">
        <v>2.956</v>
      </c>
      <c r="K61" s="1">
        <v>2</v>
      </c>
      <c r="L61" s="2">
        <v>1.478</v>
      </c>
      <c r="M61" s="4">
        <f t="shared" si="3"/>
        <v>252</v>
      </c>
      <c r="N61" s="2">
        <v>3.0960000000000001</v>
      </c>
      <c r="O61" s="1">
        <v>2</v>
      </c>
      <c r="P61" s="2">
        <v>1.548</v>
      </c>
      <c r="Q61" s="3">
        <f t="shared" si="4"/>
        <v>316</v>
      </c>
      <c r="R61" s="2">
        <v>3.8370000000000002</v>
      </c>
      <c r="S61" s="1">
        <v>2</v>
      </c>
      <c r="T61" s="2">
        <v>1.9185000000000001</v>
      </c>
      <c r="U61" s="3">
        <f t="shared" si="5"/>
        <v>380</v>
      </c>
      <c r="V61" s="2">
        <v>9.2230000000000008</v>
      </c>
      <c r="W61" s="1">
        <v>6</v>
      </c>
      <c r="X61" s="2">
        <v>1.5371666666666668</v>
      </c>
    </row>
    <row r="62" spans="1:24" x14ac:dyDescent="0.3">
      <c r="A62">
        <f t="shared" si="0"/>
        <v>61</v>
      </c>
      <c r="B62" s="2">
        <v>1.5389999999999999</v>
      </c>
      <c r="C62" s="1">
        <v>1</v>
      </c>
      <c r="D62" s="2">
        <v>1.5389999999999999</v>
      </c>
      <c r="E62" s="3">
        <f t="shared" si="1"/>
        <v>125</v>
      </c>
      <c r="F62" s="2">
        <v>3.0339999999999998</v>
      </c>
      <c r="G62" s="1">
        <v>2</v>
      </c>
      <c r="H62" s="2">
        <v>1.5169999999999999</v>
      </c>
      <c r="I62" s="3">
        <f t="shared" si="2"/>
        <v>189</v>
      </c>
      <c r="J62" s="2">
        <v>6.1269999999999998</v>
      </c>
      <c r="K62" s="1">
        <v>4</v>
      </c>
      <c r="L62" s="2">
        <v>1.5317499999999999</v>
      </c>
      <c r="M62" s="4">
        <f t="shared" si="3"/>
        <v>253</v>
      </c>
      <c r="N62" s="2">
        <v>10.68</v>
      </c>
      <c r="O62" s="1">
        <v>7</v>
      </c>
      <c r="P62" s="2">
        <v>1.5257142857142856</v>
      </c>
      <c r="Q62" s="3">
        <f t="shared" si="4"/>
        <v>317</v>
      </c>
      <c r="R62" s="2">
        <v>4.968</v>
      </c>
      <c r="S62" s="1">
        <v>3</v>
      </c>
      <c r="T62" s="2">
        <v>1.6559999999999999</v>
      </c>
      <c r="U62" s="3">
        <f t="shared" si="5"/>
        <v>381</v>
      </c>
      <c r="V62" s="2">
        <v>2.4900000000000002</v>
      </c>
      <c r="W62" s="1">
        <v>2</v>
      </c>
      <c r="X62" s="2">
        <v>1.2450000000000001</v>
      </c>
    </row>
    <row r="63" spans="1:24" x14ac:dyDescent="0.3">
      <c r="A63">
        <f t="shared" si="0"/>
        <v>62</v>
      </c>
      <c r="B63" s="2">
        <v>4.6150000000000002</v>
      </c>
      <c r="C63" s="1">
        <v>3</v>
      </c>
      <c r="D63" s="2">
        <v>1.5383333333333333</v>
      </c>
      <c r="E63" s="3">
        <f t="shared" si="1"/>
        <v>126</v>
      </c>
      <c r="F63" s="2">
        <v>2.9820000000000002</v>
      </c>
      <c r="G63" s="1">
        <v>2</v>
      </c>
      <c r="H63" s="2">
        <v>1.4910000000000001</v>
      </c>
      <c r="I63" s="3">
        <f t="shared" si="2"/>
        <v>190</v>
      </c>
      <c r="J63" s="2">
        <v>4.6890000000000001</v>
      </c>
      <c r="K63" s="1">
        <v>3</v>
      </c>
      <c r="L63" s="2">
        <v>1.5629999999999999</v>
      </c>
      <c r="M63" s="4">
        <f t="shared" si="3"/>
        <v>254</v>
      </c>
      <c r="N63" s="2">
        <v>10.983000000000001</v>
      </c>
      <c r="O63" s="1">
        <v>7</v>
      </c>
      <c r="P63" s="2">
        <v>1.5690000000000002</v>
      </c>
      <c r="Q63" s="3">
        <f t="shared" si="4"/>
        <v>318</v>
      </c>
      <c r="R63" s="2">
        <v>4.8849999999999998</v>
      </c>
      <c r="S63" s="1">
        <v>3</v>
      </c>
      <c r="T63" s="2">
        <v>1.6283333333333332</v>
      </c>
      <c r="U63" s="3">
        <f t="shared" si="5"/>
        <v>382</v>
      </c>
      <c r="V63" s="2">
        <v>10.381</v>
      </c>
      <c r="W63" s="1">
        <v>6</v>
      </c>
      <c r="X63" s="2">
        <v>1.7301666666666666</v>
      </c>
    </row>
    <row r="64" spans="1:24" x14ac:dyDescent="0.3">
      <c r="A64">
        <f t="shared" si="0"/>
        <v>63</v>
      </c>
      <c r="B64" s="2">
        <v>7.6989999999999998</v>
      </c>
      <c r="C64" s="1">
        <v>5</v>
      </c>
      <c r="D64" s="2">
        <v>1.5398000000000001</v>
      </c>
      <c r="E64" s="3">
        <f t="shared" si="1"/>
        <v>127</v>
      </c>
      <c r="F64" s="2">
        <v>4.3940000000000001</v>
      </c>
      <c r="G64" s="1">
        <v>3</v>
      </c>
      <c r="H64" s="2">
        <v>1.4646666666666668</v>
      </c>
      <c r="I64" s="3">
        <f t="shared" si="2"/>
        <v>191</v>
      </c>
      <c r="J64" s="2">
        <v>4.63</v>
      </c>
      <c r="K64" s="1">
        <v>3</v>
      </c>
      <c r="L64" s="2">
        <v>1.5433333333333332</v>
      </c>
      <c r="M64" s="4">
        <f t="shared" si="3"/>
        <v>255</v>
      </c>
      <c r="N64" s="2">
        <v>8.6989999999999998</v>
      </c>
      <c r="O64" s="1">
        <v>5</v>
      </c>
      <c r="P64" s="2">
        <v>1.7398</v>
      </c>
      <c r="Q64" s="3">
        <f t="shared" si="4"/>
        <v>319</v>
      </c>
      <c r="R64" s="2">
        <v>6.1790000000000003</v>
      </c>
      <c r="S64" s="1">
        <v>4</v>
      </c>
      <c r="T64" s="2">
        <v>1.5447500000000001</v>
      </c>
      <c r="U64" s="3">
        <f t="shared" si="5"/>
        <v>383</v>
      </c>
      <c r="V64" s="2">
        <v>21.954999999999998</v>
      </c>
      <c r="W64" s="1">
        <v>14</v>
      </c>
      <c r="X64" s="2">
        <v>1.5682142857142856</v>
      </c>
    </row>
    <row r="65" spans="1:24" x14ac:dyDescent="0.3">
      <c r="A65">
        <f t="shared" si="0"/>
        <v>64</v>
      </c>
      <c r="B65" s="2">
        <v>1.5529999999999999</v>
      </c>
      <c r="C65" s="1">
        <v>1</v>
      </c>
      <c r="D65" s="2">
        <v>1.5529999999999999</v>
      </c>
      <c r="E65" s="3">
        <f t="shared" si="1"/>
        <v>128</v>
      </c>
      <c r="F65" s="2">
        <v>5.8970000000000002</v>
      </c>
      <c r="G65" s="1">
        <v>4</v>
      </c>
      <c r="H65" s="2">
        <v>1.4742500000000001</v>
      </c>
      <c r="I65" s="3">
        <f t="shared" si="2"/>
        <v>192</v>
      </c>
      <c r="J65" s="2">
        <v>1.5980000000000001</v>
      </c>
      <c r="K65" s="1">
        <v>1</v>
      </c>
      <c r="L65" s="2">
        <v>1.5980000000000001</v>
      </c>
      <c r="M65" s="4">
        <f t="shared" si="3"/>
        <v>256</v>
      </c>
      <c r="N65" s="2">
        <v>4.3339999999999996</v>
      </c>
      <c r="O65" s="1">
        <v>3</v>
      </c>
      <c r="P65" s="2">
        <v>1.4446666666666665</v>
      </c>
      <c r="Q65" s="3">
        <f t="shared" si="4"/>
        <v>320</v>
      </c>
      <c r="R65" s="2">
        <v>4.9509999999999996</v>
      </c>
      <c r="S65" s="1">
        <v>3</v>
      </c>
      <c r="T65" s="2">
        <v>1.6503333333333332</v>
      </c>
      <c r="U65" s="3">
        <f t="shared" si="5"/>
        <v>384</v>
      </c>
      <c r="V65" s="2">
        <v>5.032</v>
      </c>
      <c r="W65" s="1">
        <v>3</v>
      </c>
      <c r="X65" s="2">
        <v>1.6773333333333333</v>
      </c>
    </row>
    <row r="258" spans="2:5" x14ac:dyDescent="0.3">
      <c r="B258" s="1">
        <v>11.14</v>
      </c>
      <c r="C258" s="1"/>
      <c r="D258" s="1"/>
      <c r="E258" s="1"/>
    </row>
    <row r="259" spans="2:5" x14ac:dyDescent="0.3">
      <c r="B259" s="1">
        <v>4.569</v>
      </c>
      <c r="C259" s="1"/>
      <c r="D259" s="1"/>
      <c r="E259" s="1"/>
    </row>
    <row r="260" spans="2:5" x14ac:dyDescent="0.3">
      <c r="B260" s="1">
        <v>3.0470000000000002</v>
      </c>
      <c r="C260" s="1"/>
      <c r="D260" s="1"/>
      <c r="E260" s="1"/>
    </row>
    <row r="261" spans="2:5" x14ac:dyDescent="0.3">
      <c r="B261" s="1">
        <v>1.5469999999999999</v>
      </c>
      <c r="C261" s="1"/>
      <c r="D261" s="1"/>
      <c r="E261" s="1"/>
    </row>
    <row r="262" spans="2:5" x14ac:dyDescent="0.3">
      <c r="B262" s="1">
        <v>3.0219999999999998</v>
      </c>
      <c r="C262" s="1"/>
      <c r="D262" s="1"/>
      <c r="E262" s="1"/>
    </row>
    <row r="263" spans="2:5" x14ac:dyDescent="0.3">
      <c r="B263" s="1">
        <v>3.0379999999999998</v>
      </c>
      <c r="C263" s="1"/>
      <c r="D263" s="1"/>
      <c r="E263" s="1"/>
    </row>
    <row r="264" spans="2:5" x14ac:dyDescent="0.3">
      <c r="B264" s="1">
        <v>1.5029999999999999</v>
      </c>
      <c r="C264" s="1"/>
      <c r="D264" s="1"/>
      <c r="E264" s="1"/>
    </row>
    <row r="265" spans="2:5" x14ac:dyDescent="0.3">
      <c r="B265" s="1">
        <v>8.2910000000000004</v>
      </c>
      <c r="C265" s="1"/>
      <c r="D265" s="1"/>
      <c r="E265" s="1"/>
    </row>
    <row r="266" spans="2:5" x14ac:dyDescent="0.3">
      <c r="B266" s="1">
        <v>9.6059999999999999</v>
      </c>
      <c r="C266" s="1"/>
      <c r="D266" s="1"/>
      <c r="E266" s="1"/>
    </row>
    <row r="267" spans="2:5" x14ac:dyDescent="0.3">
      <c r="B267" s="1">
        <v>1.6140000000000001</v>
      </c>
      <c r="C267" s="1"/>
      <c r="D267" s="1"/>
      <c r="E267" s="1"/>
    </row>
    <row r="268" spans="2:5" x14ac:dyDescent="0.3">
      <c r="B268" s="1">
        <v>3.1070000000000002</v>
      </c>
      <c r="C268" s="1"/>
      <c r="D268" s="1"/>
      <c r="E268" s="1"/>
    </row>
    <row r="269" spans="2:5" x14ac:dyDescent="0.3">
      <c r="B269" s="1">
        <v>3.1589999999999998</v>
      </c>
      <c r="C269" s="1"/>
      <c r="D269" s="1"/>
      <c r="E269" s="1"/>
    </row>
    <row r="270" spans="2:5" x14ac:dyDescent="0.3">
      <c r="B270" s="1">
        <v>12.6</v>
      </c>
      <c r="C270" s="1"/>
      <c r="D270" s="1"/>
      <c r="E270" s="1"/>
    </row>
    <row r="271" spans="2:5" x14ac:dyDescent="0.3">
      <c r="B271" s="1">
        <v>3.052</v>
      </c>
      <c r="C271" s="1"/>
      <c r="D271" s="1"/>
      <c r="E271" s="1"/>
    </row>
    <row r="272" spans="2:5" x14ac:dyDescent="0.3">
      <c r="B272" s="1">
        <v>1.5129999999999999</v>
      </c>
      <c r="C272" s="1"/>
      <c r="D272" s="1"/>
      <c r="E272" s="1"/>
    </row>
    <row r="273" spans="2:5" x14ac:dyDescent="0.3">
      <c r="B273" s="1">
        <v>3.1120000000000001</v>
      </c>
      <c r="C273" s="1"/>
      <c r="D273" s="1"/>
      <c r="E273" s="1"/>
    </row>
    <row r="274" spans="2:5" x14ac:dyDescent="0.3">
      <c r="B274" s="1">
        <v>1.5780000000000001</v>
      </c>
      <c r="C274" s="1"/>
      <c r="D274" s="1"/>
      <c r="E274" s="1"/>
    </row>
    <row r="275" spans="2:5" x14ac:dyDescent="0.3">
      <c r="B275" s="1">
        <v>1.5629999999999999</v>
      </c>
      <c r="C275" s="1"/>
      <c r="D275" s="1"/>
      <c r="E275" s="1"/>
    </row>
    <row r="276" spans="2:5" x14ac:dyDescent="0.3">
      <c r="B276" s="1">
        <v>6.1529999999999996</v>
      </c>
      <c r="C276" s="1"/>
      <c r="D276" s="1"/>
      <c r="E276" s="1"/>
    </row>
    <row r="277" spans="2:5" x14ac:dyDescent="0.3">
      <c r="B277" s="1">
        <v>1.5649999999999999</v>
      </c>
      <c r="C277" s="1"/>
      <c r="D277" s="1"/>
      <c r="E277" s="1"/>
    </row>
    <row r="278" spans="2:5" x14ac:dyDescent="0.3">
      <c r="B278" s="1">
        <v>4.68</v>
      </c>
      <c r="C278" s="1"/>
      <c r="D278" s="1"/>
      <c r="E278" s="1"/>
    </row>
    <row r="279" spans="2:5" x14ac:dyDescent="0.3">
      <c r="B279" s="1">
        <v>10.991</v>
      </c>
      <c r="C279" s="1"/>
      <c r="D279" s="1"/>
      <c r="E279" s="1"/>
    </row>
    <row r="280" spans="2:5" x14ac:dyDescent="0.3">
      <c r="B280" s="1">
        <v>4.5830000000000002</v>
      </c>
      <c r="C280" s="1"/>
      <c r="D280" s="1"/>
      <c r="E280" s="1"/>
    </row>
    <row r="281" spans="2:5" x14ac:dyDescent="0.3">
      <c r="B281" s="1">
        <v>4.6859999999999999</v>
      </c>
      <c r="C281" s="1"/>
      <c r="D281" s="1"/>
      <c r="E281" s="1"/>
    </row>
    <row r="282" spans="2:5" x14ac:dyDescent="0.3">
      <c r="B282" s="1">
        <v>3.0790000000000002</v>
      </c>
      <c r="C282" s="1"/>
      <c r="D282" s="1"/>
      <c r="E282" s="1"/>
    </row>
    <row r="283" spans="2:5" x14ac:dyDescent="0.3">
      <c r="B283" s="1">
        <v>3.2149999999999999</v>
      </c>
      <c r="C283" s="1"/>
      <c r="D283" s="1"/>
      <c r="E283" s="1"/>
    </row>
    <row r="284" spans="2:5" x14ac:dyDescent="0.3">
      <c r="B284" s="1">
        <v>3.04</v>
      </c>
      <c r="C284" s="1"/>
      <c r="D284" s="1"/>
      <c r="E284" s="1"/>
    </row>
    <row r="285" spans="2:5" x14ac:dyDescent="0.3">
      <c r="B285" s="1">
        <v>14.523</v>
      </c>
      <c r="C285" s="1"/>
      <c r="D285" s="1"/>
      <c r="E285" s="1"/>
    </row>
    <row r="286" spans="2:5" x14ac:dyDescent="0.3">
      <c r="B286" s="1">
        <v>7.8849999999999998</v>
      </c>
      <c r="C286" s="1"/>
      <c r="D286" s="1"/>
      <c r="E286" s="1"/>
    </row>
    <row r="287" spans="2:5" x14ac:dyDescent="0.3">
      <c r="B287" s="1">
        <v>3.1070000000000002</v>
      </c>
      <c r="C287" s="1"/>
      <c r="D287" s="1"/>
      <c r="E287" s="1"/>
    </row>
    <row r="288" spans="2:5" x14ac:dyDescent="0.3">
      <c r="B288" s="1">
        <v>3.16</v>
      </c>
      <c r="C288" s="1"/>
      <c r="D288" s="1"/>
      <c r="E288" s="1"/>
    </row>
    <row r="289" spans="2:5" x14ac:dyDescent="0.3">
      <c r="B289" s="1">
        <v>3.085</v>
      </c>
      <c r="C289" s="1"/>
      <c r="D289" s="1"/>
      <c r="E289" s="1"/>
    </row>
    <row r="290" spans="2:5" x14ac:dyDescent="0.3">
      <c r="B290" s="1">
        <v>10.73</v>
      </c>
      <c r="C290" s="1"/>
      <c r="D290" s="1"/>
      <c r="E290" s="1"/>
    </row>
    <row r="291" spans="2:5" x14ac:dyDescent="0.3">
      <c r="B291" s="1">
        <v>1.6</v>
      </c>
      <c r="C291" s="1"/>
      <c r="D291" s="1"/>
      <c r="E291" s="1"/>
    </row>
    <row r="292" spans="2:5" x14ac:dyDescent="0.3">
      <c r="B292" s="1">
        <v>4.5860000000000003</v>
      </c>
      <c r="C292" s="1"/>
      <c r="D292" s="1"/>
      <c r="E292" s="1"/>
    </row>
    <row r="293" spans="2:5" x14ac:dyDescent="0.3">
      <c r="B293" s="1">
        <v>4.4710000000000001</v>
      </c>
      <c r="C293" s="1"/>
      <c r="D293" s="1"/>
      <c r="E293" s="1"/>
    </row>
    <row r="294" spans="2:5" x14ac:dyDescent="0.3">
      <c r="B294" s="1">
        <v>13.614000000000001</v>
      </c>
      <c r="C294" s="1"/>
      <c r="D294" s="1"/>
      <c r="E294" s="1"/>
    </row>
    <row r="295" spans="2:5" x14ac:dyDescent="0.3">
      <c r="B295" s="1">
        <v>83.1</v>
      </c>
      <c r="C295" s="1"/>
      <c r="D295" s="1"/>
      <c r="E295" s="1"/>
    </row>
    <row r="296" spans="2:5" x14ac:dyDescent="0.3">
      <c r="B296" s="1">
        <v>6.4109999999999996</v>
      </c>
      <c r="C296" s="1"/>
      <c r="D296" s="1"/>
      <c r="E296" s="1"/>
    </row>
    <row r="297" spans="2:5" x14ac:dyDescent="0.3">
      <c r="B297" s="1">
        <v>23.33</v>
      </c>
      <c r="C297" s="1"/>
      <c r="D297" s="1"/>
      <c r="E297" s="1"/>
    </row>
    <row r="298" spans="2:5" x14ac:dyDescent="0.3">
      <c r="B298" s="1">
        <v>15.207000000000001</v>
      </c>
      <c r="C298" s="1"/>
      <c r="D298" s="1"/>
      <c r="E298" s="1"/>
    </row>
    <row r="299" spans="2:5" x14ac:dyDescent="0.3">
      <c r="B299" s="1">
        <v>17.306000000000001</v>
      </c>
      <c r="C299" s="1"/>
      <c r="D299" s="1"/>
      <c r="E299" s="1"/>
    </row>
    <row r="300" spans="2:5" x14ac:dyDescent="0.3">
      <c r="B300" s="1">
        <v>66.736000000000004</v>
      </c>
      <c r="C300" s="1"/>
      <c r="D300" s="1"/>
      <c r="E300" s="1"/>
    </row>
    <row r="301" spans="2:5" x14ac:dyDescent="0.3">
      <c r="B301" s="1">
        <v>17.471</v>
      </c>
      <c r="C301" s="1"/>
      <c r="D301" s="1"/>
      <c r="E301" s="1"/>
    </row>
    <row r="302" spans="2:5" x14ac:dyDescent="0.3">
      <c r="B302" s="1">
        <v>6.2839999999999998</v>
      </c>
      <c r="C302" s="1"/>
      <c r="D302" s="1"/>
      <c r="E302" s="1"/>
    </row>
    <row r="303" spans="2:5" x14ac:dyDescent="0.3">
      <c r="B303" s="1">
        <v>24.004000000000001</v>
      </c>
      <c r="C303" s="1"/>
      <c r="D303" s="1"/>
      <c r="E303" s="1"/>
    </row>
    <row r="304" spans="2:5" x14ac:dyDescent="0.3">
      <c r="B304" s="1">
        <v>21.032</v>
      </c>
      <c r="C304" s="1"/>
      <c r="D304" s="1"/>
      <c r="E304" s="1"/>
    </row>
    <row r="305" spans="2:5" x14ac:dyDescent="0.3">
      <c r="B305" s="1">
        <v>4.5309999999999997</v>
      </c>
      <c r="C305" s="1"/>
      <c r="D305" s="1"/>
      <c r="E305" s="1"/>
    </row>
    <row r="306" spans="2:5" x14ac:dyDescent="0.3">
      <c r="B306" s="1">
        <v>3.0169999999999999</v>
      </c>
      <c r="C306" s="1"/>
      <c r="D306" s="1"/>
      <c r="E306" s="1"/>
    </row>
    <row r="307" spans="2:5" x14ac:dyDescent="0.3">
      <c r="B307" s="1">
        <v>11.680999999999999</v>
      </c>
      <c r="C307" s="1"/>
      <c r="D307" s="1"/>
      <c r="E307" s="1"/>
    </row>
    <row r="308" spans="2:5" x14ac:dyDescent="0.3">
      <c r="B308" s="1">
        <v>48.47</v>
      </c>
      <c r="C308" s="1"/>
      <c r="D308" s="1"/>
      <c r="E308" s="1"/>
    </row>
    <row r="309" spans="2:5" x14ac:dyDescent="0.3">
      <c r="B309" s="1">
        <v>40.884</v>
      </c>
      <c r="C309" s="1"/>
      <c r="D309" s="1"/>
      <c r="E309" s="1"/>
    </row>
    <row r="310" spans="2:5" x14ac:dyDescent="0.3">
      <c r="B310" s="1">
        <v>18.161999999999999</v>
      </c>
      <c r="C310" s="1"/>
      <c r="D310" s="1"/>
      <c r="E310" s="1"/>
    </row>
    <row r="311" spans="2:5" x14ac:dyDescent="0.3">
      <c r="B311" s="1">
        <v>17.28</v>
      </c>
      <c r="C311" s="1"/>
      <c r="D311" s="1"/>
      <c r="E311" s="1"/>
    </row>
    <row r="312" spans="2:5" x14ac:dyDescent="0.3">
      <c r="B312" s="1">
        <v>16.742999999999999</v>
      </c>
      <c r="C312" s="1"/>
      <c r="D312" s="1"/>
      <c r="E312" s="1"/>
    </row>
    <row r="313" spans="2:5" x14ac:dyDescent="0.3">
      <c r="B313" s="1">
        <v>3.0449999999999999</v>
      </c>
      <c r="C313" s="1"/>
      <c r="D313" s="1"/>
      <c r="E313" s="1"/>
    </row>
    <row r="314" spans="2:5" x14ac:dyDescent="0.3">
      <c r="B314" s="1">
        <v>1.62</v>
      </c>
      <c r="C314" s="1"/>
      <c r="D314" s="1"/>
      <c r="E314" s="1"/>
    </row>
    <row r="315" spans="2:5" x14ac:dyDescent="0.3">
      <c r="B315" s="1">
        <v>1.548</v>
      </c>
      <c r="C315" s="1"/>
      <c r="D315" s="1"/>
      <c r="E315" s="1"/>
    </row>
    <row r="316" spans="2:5" x14ac:dyDescent="0.3">
      <c r="B316" s="1">
        <v>1.482</v>
      </c>
      <c r="C316" s="1"/>
      <c r="D316" s="1"/>
      <c r="E316" s="1"/>
    </row>
    <row r="317" spans="2:5" x14ac:dyDescent="0.3">
      <c r="B317" s="1">
        <v>2.956</v>
      </c>
      <c r="C317" s="1"/>
      <c r="D317" s="1"/>
      <c r="E317" s="1"/>
    </row>
    <row r="318" spans="2:5" x14ac:dyDescent="0.3">
      <c r="B318" s="1">
        <v>6.1269999999999998</v>
      </c>
      <c r="C318" s="1"/>
      <c r="D318" s="1"/>
      <c r="E318" s="1"/>
    </row>
    <row r="319" spans="2:5" x14ac:dyDescent="0.3">
      <c r="B319" s="1">
        <v>4.6890000000000001</v>
      </c>
      <c r="C319" s="1"/>
      <c r="D319" s="1"/>
      <c r="E319" s="1"/>
    </row>
    <row r="320" spans="2:5" x14ac:dyDescent="0.3">
      <c r="B320" s="1">
        <v>4.63</v>
      </c>
      <c r="C320" s="1"/>
      <c r="D320" s="1"/>
      <c r="E320" s="1"/>
    </row>
    <row r="321" spans="2:5" x14ac:dyDescent="0.3">
      <c r="B321" s="1">
        <v>1.5980000000000001</v>
      </c>
      <c r="C321" s="1"/>
      <c r="D321" s="1"/>
      <c r="E321" s="1"/>
    </row>
    <row r="322" spans="2:5" x14ac:dyDescent="0.3">
      <c r="B322" s="1">
        <v>1.5509999999999999</v>
      </c>
      <c r="C322" s="1"/>
      <c r="D322" s="1"/>
      <c r="E322" s="1"/>
    </row>
    <row r="323" spans="2:5" x14ac:dyDescent="0.3">
      <c r="B323" s="1">
        <v>1.5289999999999999</v>
      </c>
      <c r="C323" s="1"/>
      <c r="D323" s="1"/>
      <c r="E323" s="1"/>
    </row>
    <row r="324" spans="2:5" x14ac:dyDescent="0.3">
      <c r="B324" s="1">
        <v>9.3759999999999994</v>
      </c>
      <c r="C324" s="1"/>
      <c r="D324" s="1"/>
      <c r="E324" s="1"/>
    </row>
    <row r="325" spans="2:5" x14ac:dyDescent="0.3">
      <c r="B325" s="1">
        <v>6.3369999999999997</v>
      </c>
      <c r="C325" s="1"/>
      <c r="D325" s="1"/>
      <c r="E325" s="1"/>
    </row>
    <row r="326" spans="2:5" x14ac:dyDescent="0.3">
      <c r="B326" s="1">
        <v>2.9220000000000002</v>
      </c>
      <c r="C326" s="1"/>
      <c r="D326" s="1"/>
      <c r="E326" s="1"/>
    </row>
    <row r="327" spans="2:5" x14ac:dyDescent="0.3">
      <c r="B327" s="1">
        <v>20.65</v>
      </c>
      <c r="C327" s="1"/>
      <c r="D327" s="1"/>
      <c r="E327" s="1"/>
    </row>
    <row r="328" spans="2:5" x14ac:dyDescent="0.3">
      <c r="B328" s="1">
        <v>1.528</v>
      </c>
      <c r="C328" s="1"/>
      <c r="D328" s="1"/>
      <c r="E328" s="1"/>
    </row>
    <row r="329" spans="2:5" x14ac:dyDescent="0.3">
      <c r="B329" s="1">
        <v>13.893000000000001</v>
      </c>
      <c r="C329" s="1"/>
      <c r="D329" s="1"/>
      <c r="E329" s="1"/>
    </row>
    <row r="330" spans="2:5" x14ac:dyDescent="0.3">
      <c r="B330" s="1">
        <v>1.5429999999999999</v>
      </c>
      <c r="C330" s="1"/>
      <c r="D330" s="1"/>
      <c r="E330" s="1"/>
    </row>
    <row r="331" spans="2:5" x14ac:dyDescent="0.3">
      <c r="B331" s="1">
        <v>6.3280000000000003</v>
      </c>
      <c r="C331" s="1"/>
      <c r="D331" s="1"/>
      <c r="E331" s="1"/>
    </row>
    <row r="332" spans="2:5" x14ac:dyDescent="0.3">
      <c r="B332" s="1">
        <v>4.5279999999999996</v>
      </c>
      <c r="C332" s="1"/>
      <c r="D332" s="1"/>
      <c r="E332" s="1"/>
    </row>
    <row r="333" spans="2:5" x14ac:dyDescent="0.3">
      <c r="B333" s="1">
        <v>1.498</v>
      </c>
      <c r="C333" s="1"/>
      <c r="D333" s="1"/>
      <c r="E333" s="1"/>
    </row>
    <row r="334" spans="2:5" x14ac:dyDescent="0.3">
      <c r="B334" s="1">
        <v>1.8420000000000001</v>
      </c>
      <c r="C334" s="1"/>
      <c r="D334" s="1"/>
      <c r="E334" s="1"/>
    </row>
    <row r="335" spans="2:5" x14ac:dyDescent="0.3">
      <c r="B335" s="1">
        <v>6.5830000000000002</v>
      </c>
      <c r="C335" s="1"/>
      <c r="D335" s="1"/>
      <c r="E335" s="1"/>
    </row>
    <row r="336" spans="2:5" x14ac:dyDescent="0.3">
      <c r="B336" s="1">
        <v>6.4610000000000003</v>
      </c>
      <c r="C336" s="1"/>
      <c r="D336" s="1"/>
      <c r="E336" s="1"/>
    </row>
    <row r="337" spans="2:5" x14ac:dyDescent="0.3">
      <c r="B337" s="1">
        <v>1.6830000000000001</v>
      </c>
      <c r="C337" s="1"/>
      <c r="D337" s="1"/>
      <c r="E337" s="1"/>
    </row>
    <row r="338" spans="2:5" x14ac:dyDescent="0.3">
      <c r="B338" s="1">
        <v>5.9980000000000002</v>
      </c>
      <c r="C338" s="1"/>
      <c r="D338" s="1"/>
      <c r="E338" s="1"/>
    </row>
    <row r="339" spans="2:5" x14ac:dyDescent="0.3">
      <c r="B339" s="1">
        <v>1.5589999999999999</v>
      </c>
      <c r="C339" s="1"/>
      <c r="D339" s="1"/>
      <c r="E339" s="1"/>
    </row>
    <row r="340" spans="2:5" x14ac:dyDescent="0.3">
      <c r="B340" s="1">
        <v>5.8259999999999996</v>
      </c>
      <c r="C340" s="1"/>
      <c r="D340" s="1"/>
      <c r="E340" s="1"/>
    </row>
    <row r="341" spans="2:5" x14ac:dyDescent="0.3">
      <c r="B341" s="1">
        <v>1.43</v>
      </c>
      <c r="C341" s="1"/>
      <c r="D341" s="1"/>
      <c r="E341" s="1"/>
    </row>
    <row r="342" spans="2:5" x14ac:dyDescent="0.3">
      <c r="B342" s="1">
        <v>3.08</v>
      </c>
      <c r="C342" s="1"/>
      <c r="D342" s="1"/>
      <c r="E342" s="1"/>
    </row>
    <row r="343" spans="2:5" x14ac:dyDescent="0.3">
      <c r="B343" s="1">
        <v>6.6689999999999996</v>
      </c>
      <c r="C343" s="1"/>
      <c r="D343" s="1"/>
      <c r="E343" s="1"/>
    </row>
    <row r="344" spans="2:5" x14ac:dyDescent="0.3">
      <c r="B344" s="1">
        <v>11.587</v>
      </c>
      <c r="C344" s="1"/>
      <c r="D344" s="1"/>
      <c r="E344" s="1"/>
    </row>
    <row r="345" spans="2:5" x14ac:dyDescent="0.3">
      <c r="B345" s="1">
        <v>10.045999999999999</v>
      </c>
      <c r="C345" s="1"/>
      <c r="D345" s="1"/>
      <c r="E345" s="1"/>
    </row>
    <row r="346" spans="2:5" x14ac:dyDescent="0.3">
      <c r="B346" s="1">
        <v>10.321999999999999</v>
      </c>
      <c r="C346" s="1"/>
      <c r="D346" s="1"/>
      <c r="E346" s="1"/>
    </row>
    <row r="347" spans="2:5" x14ac:dyDescent="0.3">
      <c r="B347" s="1">
        <v>7.18</v>
      </c>
      <c r="C347" s="1"/>
      <c r="D347" s="1"/>
      <c r="E347" s="1"/>
    </row>
    <row r="348" spans="2:5" x14ac:dyDescent="0.3">
      <c r="B348" s="1">
        <v>15.795999999999999</v>
      </c>
      <c r="C348" s="1"/>
      <c r="D348" s="1"/>
      <c r="E348" s="1"/>
    </row>
    <row r="349" spans="2:5" x14ac:dyDescent="0.3">
      <c r="B349" s="1">
        <v>2.9020000000000001</v>
      </c>
      <c r="C349" s="1"/>
      <c r="D349" s="1"/>
      <c r="E349" s="1"/>
    </row>
    <row r="350" spans="2:5" x14ac:dyDescent="0.3">
      <c r="B350" s="1">
        <v>6.0330000000000004</v>
      </c>
      <c r="C350" s="1"/>
      <c r="D350" s="1"/>
      <c r="E350" s="1"/>
    </row>
    <row r="351" spans="2:5" x14ac:dyDescent="0.3">
      <c r="B351" s="1">
        <v>29.539000000000001</v>
      </c>
      <c r="C351" s="1"/>
      <c r="D351" s="1"/>
      <c r="E351" s="1"/>
    </row>
    <row r="352" spans="2:5" x14ac:dyDescent="0.3">
      <c r="B352" s="1">
        <v>24.009</v>
      </c>
      <c r="C352" s="1"/>
      <c r="D352" s="1"/>
      <c r="E352" s="1"/>
    </row>
    <row r="353" spans="2:5" x14ac:dyDescent="0.3">
      <c r="B353" s="1">
        <v>2.97</v>
      </c>
      <c r="C353" s="1"/>
      <c r="D353" s="1"/>
      <c r="E353" s="1"/>
    </row>
    <row r="354" spans="2:5" x14ac:dyDescent="0.3">
      <c r="B354" s="1">
        <v>1.452</v>
      </c>
      <c r="C354" s="1"/>
      <c r="D354" s="1"/>
      <c r="E354" s="1"/>
    </row>
    <row r="355" spans="2:5" x14ac:dyDescent="0.3">
      <c r="B355" s="1">
        <v>1.4690000000000001</v>
      </c>
      <c r="C355" s="1"/>
      <c r="D355" s="1"/>
      <c r="E355" s="1"/>
    </row>
    <row r="356" spans="2:5" x14ac:dyDescent="0.3">
      <c r="B356" s="1">
        <v>7.4459999999999997</v>
      </c>
      <c r="C356" s="1"/>
      <c r="D356" s="1"/>
      <c r="E356" s="1"/>
    </row>
    <row r="357" spans="2:5" x14ac:dyDescent="0.3">
      <c r="B357" s="1">
        <v>1.488</v>
      </c>
      <c r="C357" s="1"/>
      <c r="D357" s="1"/>
      <c r="E357" s="1"/>
    </row>
    <row r="358" spans="2:5" x14ac:dyDescent="0.3">
      <c r="B358" s="1">
        <v>9.3170000000000002</v>
      </c>
      <c r="C358" s="1"/>
      <c r="D358" s="1"/>
      <c r="E358" s="1"/>
    </row>
    <row r="359" spans="2:5" x14ac:dyDescent="0.3">
      <c r="B359" s="1">
        <v>11.003</v>
      </c>
      <c r="C359" s="1"/>
      <c r="D359" s="1"/>
      <c r="E359" s="1"/>
    </row>
    <row r="360" spans="2:5" x14ac:dyDescent="0.3">
      <c r="B360" s="1">
        <v>3.081</v>
      </c>
      <c r="C360" s="1"/>
      <c r="D360" s="1"/>
      <c r="E360" s="1"/>
    </row>
    <row r="361" spans="2:5" x14ac:dyDescent="0.3">
      <c r="B361" s="1">
        <v>7.766</v>
      </c>
      <c r="C361" s="1"/>
      <c r="D361" s="1"/>
      <c r="E361" s="1"/>
    </row>
    <row r="362" spans="2:5" x14ac:dyDescent="0.3">
      <c r="B362" s="1">
        <v>3.1120000000000001</v>
      </c>
      <c r="C362" s="1"/>
      <c r="D362" s="1"/>
      <c r="E362" s="1"/>
    </row>
    <row r="363" spans="2:5" x14ac:dyDescent="0.3">
      <c r="B363" s="1">
        <v>9.4499999999999993</v>
      </c>
      <c r="C363" s="1"/>
      <c r="D363" s="1"/>
      <c r="E363" s="1"/>
    </row>
    <row r="364" spans="2:5" x14ac:dyDescent="0.3">
      <c r="B364" s="1">
        <v>9.2769999999999992</v>
      </c>
      <c r="C364" s="1"/>
      <c r="D364" s="1"/>
      <c r="E364" s="1"/>
    </row>
    <row r="365" spans="2:5" x14ac:dyDescent="0.3">
      <c r="B365" s="1">
        <v>4.6890000000000001</v>
      </c>
      <c r="C365" s="1"/>
      <c r="D365" s="1"/>
      <c r="E365" s="1"/>
    </row>
    <row r="366" spans="2:5" x14ac:dyDescent="0.3">
      <c r="B366" s="1">
        <v>4.6760000000000002</v>
      </c>
      <c r="C366" s="1"/>
      <c r="D366" s="1"/>
      <c r="E366" s="1"/>
    </row>
    <row r="367" spans="2:5" x14ac:dyDescent="0.3">
      <c r="B367" s="1">
        <v>4.7709999999999999</v>
      </c>
      <c r="C367" s="1"/>
      <c r="D367" s="1"/>
      <c r="E367" s="1"/>
    </row>
    <row r="368" spans="2:5" x14ac:dyDescent="0.3">
      <c r="B368" s="1">
        <v>6.2560000000000002</v>
      </c>
      <c r="C368" s="1"/>
      <c r="D368" s="1"/>
      <c r="E368" s="1"/>
    </row>
    <row r="369" spans="2:5" x14ac:dyDescent="0.3">
      <c r="B369" s="1">
        <v>7.7050000000000001</v>
      </c>
      <c r="C369" s="1"/>
      <c r="D369" s="1"/>
      <c r="E369" s="1"/>
    </row>
    <row r="370" spans="2:5" x14ac:dyDescent="0.3">
      <c r="B370" s="1">
        <v>16.904</v>
      </c>
      <c r="C370" s="1"/>
      <c r="D370" s="1"/>
      <c r="E370" s="1"/>
    </row>
    <row r="371" spans="2:5" x14ac:dyDescent="0.3">
      <c r="B371" s="1">
        <v>7.726</v>
      </c>
      <c r="C371" s="1"/>
      <c r="D371" s="1"/>
      <c r="E371" s="1"/>
    </row>
    <row r="372" spans="2:5" x14ac:dyDescent="0.3">
      <c r="B372" s="1">
        <v>6.12</v>
      </c>
      <c r="C372" s="1"/>
      <c r="D372" s="1"/>
      <c r="E372" s="1"/>
    </row>
    <row r="373" spans="2:5" x14ac:dyDescent="0.3">
      <c r="B373" s="1">
        <v>3.1110000000000002</v>
      </c>
      <c r="C373" s="1"/>
      <c r="D373" s="1"/>
      <c r="E373" s="1"/>
    </row>
    <row r="374" spans="2:5" x14ac:dyDescent="0.3">
      <c r="B374" s="1">
        <v>12.191000000000001</v>
      </c>
      <c r="C374" s="1"/>
      <c r="D374" s="1"/>
      <c r="E374" s="1"/>
    </row>
    <row r="375" spans="2:5" x14ac:dyDescent="0.3">
      <c r="B375" s="1">
        <v>11.201000000000001</v>
      </c>
      <c r="C375" s="1"/>
      <c r="D375" s="1"/>
      <c r="E375" s="1"/>
    </row>
    <row r="376" spans="2:5" x14ac:dyDescent="0.3">
      <c r="B376" s="1">
        <v>14.706</v>
      </c>
      <c r="C376" s="1"/>
      <c r="D376" s="1"/>
      <c r="E376" s="1"/>
    </row>
    <row r="377" spans="2:5" x14ac:dyDescent="0.3">
      <c r="B377" s="1">
        <v>16.581</v>
      </c>
      <c r="C377" s="1"/>
      <c r="D377" s="1"/>
      <c r="E377" s="1"/>
    </row>
    <row r="378" spans="2:5" x14ac:dyDescent="0.3">
      <c r="B378" s="1">
        <v>4.9610000000000003</v>
      </c>
      <c r="C378" s="1"/>
      <c r="D378" s="1"/>
      <c r="E378" s="1"/>
    </row>
    <row r="379" spans="2:5" x14ac:dyDescent="0.3">
      <c r="B379" s="1">
        <v>6.2279999999999998</v>
      </c>
      <c r="C379" s="1"/>
      <c r="D379" s="1"/>
      <c r="E379" s="1"/>
    </row>
    <row r="380" spans="2:5" x14ac:dyDescent="0.3">
      <c r="B380" s="1">
        <v>21.001000000000001</v>
      </c>
      <c r="C380" s="1"/>
      <c r="D380" s="1"/>
      <c r="E380" s="1"/>
    </row>
    <row r="381" spans="2:5" x14ac:dyDescent="0.3">
      <c r="B381" s="1">
        <v>9.2230000000000008</v>
      </c>
      <c r="C381" s="1"/>
      <c r="D381" s="1"/>
      <c r="E381" s="1"/>
    </row>
    <row r="382" spans="2:5" x14ac:dyDescent="0.3">
      <c r="B382" s="1">
        <v>2.4900000000000002</v>
      </c>
      <c r="C382" s="1"/>
      <c r="D382" s="1"/>
      <c r="E382" s="1"/>
    </row>
    <row r="383" spans="2:5" x14ac:dyDescent="0.3">
      <c r="B383" s="1">
        <v>10.381</v>
      </c>
      <c r="C383" s="1"/>
      <c r="D383" s="1"/>
      <c r="E383" s="1"/>
    </row>
    <row r="384" spans="2:5" x14ac:dyDescent="0.3">
      <c r="B384" s="1">
        <v>21.954999999999998</v>
      </c>
      <c r="C384" s="1"/>
      <c r="D384" s="1"/>
      <c r="E384" s="1"/>
    </row>
    <row r="385" spans="2:5" x14ac:dyDescent="0.3">
      <c r="B385" s="1">
        <v>5.032</v>
      </c>
      <c r="C385" s="1"/>
      <c r="D385" s="1"/>
      <c r="E385" s="1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2EAB7-9DC3-47AA-99B0-F7874E7481A1}">
  <dimension ref="A1:N62"/>
  <sheetViews>
    <sheetView tabSelected="1" workbookViewId="0">
      <selection activeCell="J10" sqref="J10"/>
    </sheetView>
  </sheetViews>
  <sheetFormatPr defaultRowHeight="14" x14ac:dyDescent="0.3"/>
  <sheetData>
    <row r="1" spans="1:14" x14ac:dyDescent="0.3">
      <c r="A1" t="s">
        <v>3</v>
      </c>
      <c r="B1" s="5" t="s">
        <v>6</v>
      </c>
      <c r="C1" s="5" t="s">
        <v>1</v>
      </c>
      <c r="D1" s="5" t="s">
        <v>7</v>
      </c>
      <c r="E1" s="7" t="s">
        <v>9</v>
      </c>
      <c r="I1" t="s">
        <v>8</v>
      </c>
      <c r="L1">
        <f>AVERAGE(D2:D62)</f>
        <v>1.6013464878694985</v>
      </c>
      <c r="M1" t="s">
        <v>12</v>
      </c>
      <c r="N1">
        <f>SQRT(SUM(F2:F62)/61)</f>
        <v>1.4437173199474542E-2</v>
      </c>
    </row>
    <row r="2" spans="1:14" x14ac:dyDescent="0.3">
      <c r="A2">
        <v>1</v>
      </c>
      <c r="B2" s="5">
        <v>11.106999999999999</v>
      </c>
      <c r="C2" s="5">
        <v>7</v>
      </c>
      <c r="D2" s="6">
        <v>1.5867142857142855</v>
      </c>
      <c r="E2">
        <f>ABS(D2-1.6021766208)</f>
        <v>1.5462335085714374E-2</v>
      </c>
      <c r="F2">
        <f>E2*E2</f>
        <v>2.3908380630291372E-4</v>
      </c>
      <c r="M2" t="s">
        <v>13</v>
      </c>
      <c r="N2">
        <f>N1/SQRT(61)</f>
        <v>1.8484906115115456E-3</v>
      </c>
    </row>
    <row r="3" spans="1:14" x14ac:dyDescent="0.3">
      <c r="A3">
        <f>A2+1</f>
        <v>2</v>
      </c>
      <c r="B3" s="5">
        <v>34.912999999999997</v>
      </c>
      <c r="C3" s="5">
        <v>22</v>
      </c>
      <c r="D3" s="6">
        <v>1.5869545454545453</v>
      </c>
      <c r="E3">
        <f t="shared" ref="E3:E62" si="0">ABS(D3-1.6021766208)</f>
        <v>1.5222075345454611E-2</v>
      </c>
      <c r="F3">
        <f t="shared" ref="F3:F62" si="1">E3*E3</f>
        <v>2.3171157782269711E-4</v>
      </c>
      <c r="M3" t="s">
        <v>14</v>
      </c>
      <c r="N3" s="9">
        <f>N1/1.6021766208</f>
        <v>9.0109748276477556E-3</v>
      </c>
    </row>
    <row r="4" spans="1:14" x14ac:dyDescent="0.3">
      <c r="A4">
        <f t="shared" ref="A4:A62" si="2">A3+1</f>
        <v>3</v>
      </c>
      <c r="B4" s="5">
        <v>4.835</v>
      </c>
      <c r="C4" s="5">
        <v>3</v>
      </c>
      <c r="D4" s="6">
        <v>1.6116666666666666</v>
      </c>
      <c r="E4">
        <f t="shared" si="0"/>
        <v>9.4900458666666854E-3</v>
      </c>
      <c r="F4">
        <f t="shared" si="1"/>
        <v>9.0060970551437438E-5</v>
      </c>
    </row>
    <row r="5" spans="1:14" x14ac:dyDescent="0.3">
      <c r="A5">
        <f t="shared" si="2"/>
        <v>4</v>
      </c>
      <c r="B5" s="5">
        <v>40.700000000000003</v>
      </c>
      <c r="C5" s="5">
        <v>25</v>
      </c>
      <c r="D5" s="6">
        <v>1.6280000000000001</v>
      </c>
      <c r="E5">
        <f t="shared" si="0"/>
        <v>2.5823379200000218E-2</v>
      </c>
      <c r="F5">
        <f t="shared" si="1"/>
        <v>6.6684691330700394E-4</v>
      </c>
    </row>
    <row r="6" spans="1:14" x14ac:dyDescent="0.3">
      <c r="A6">
        <f t="shared" si="2"/>
        <v>5</v>
      </c>
      <c r="B6" s="5">
        <v>4.7460000000000004</v>
      </c>
      <c r="C6" s="5">
        <v>3</v>
      </c>
      <c r="D6" s="6">
        <v>1.5820000000000001</v>
      </c>
      <c r="E6">
        <f t="shared" si="0"/>
        <v>2.0176620799999823E-2</v>
      </c>
      <c r="F6">
        <f t="shared" si="1"/>
        <v>4.070960269069855E-4</v>
      </c>
    </row>
    <row r="7" spans="1:14" x14ac:dyDescent="0.3">
      <c r="A7">
        <f t="shared" si="2"/>
        <v>6</v>
      </c>
      <c r="B7" s="5">
        <v>3.1669999999999998</v>
      </c>
      <c r="C7" s="5">
        <v>2</v>
      </c>
      <c r="D7" s="6">
        <v>1.5834999999999999</v>
      </c>
      <c r="E7">
        <f t="shared" si="0"/>
        <v>1.8676620799999988E-2</v>
      </c>
      <c r="F7">
        <f t="shared" si="1"/>
        <v>3.4881616450699218E-4</v>
      </c>
    </row>
    <row r="8" spans="1:14" x14ac:dyDescent="0.3">
      <c r="A8">
        <f t="shared" si="2"/>
        <v>7</v>
      </c>
      <c r="B8" s="5">
        <v>9.6780000000000008</v>
      </c>
      <c r="C8" s="5">
        <v>6</v>
      </c>
      <c r="D8" s="6">
        <v>1.6130000000000002</v>
      </c>
      <c r="E8">
        <f t="shared" si="0"/>
        <v>1.0823379200000316E-2</v>
      </c>
      <c r="F8">
        <f t="shared" si="1"/>
        <v>1.1714553730699947E-4</v>
      </c>
    </row>
    <row r="9" spans="1:14" x14ac:dyDescent="0.3">
      <c r="A9">
        <f t="shared" si="2"/>
        <v>8</v>
      </c>
      <c r="B9" s="5">
        <v>3.1890000000000001</v>
      </c>
      <c r="C9" s="5">
        <v>2</v>
      </c>
      <c r="D9" s="6">
        <v>1.5945</v>
      </c>
      <c r="E9">
        <f t="shared" si="0"/>
        <v>7.676620799999867E-3</v>
      </c>
      <c r="F9">
        <f t="shared" si="1"/>
        <v>5.8930506906990599E-5</v>
      </c>
    </row>
    <row r="10" spans="1:14" x14ac:dyDescent="0.3">
      <c r="A10">
        <f t="shared" si="2"/>
        <v>9</v>
      </c>
      <c r="B10" s="5">
        <v>1.5840000000000001</v>
      </c>
      <c r="C10" s="5">
        <v>1</v>
      </c>
      <c r="D10" s="6">
        <v>1.5840000000000001</v>
      </c>
      <c r="E10">
        <f t="shared" si="0"/>
        <v>1.8176620799999821E-2</v>
      </c>
      <c r="F10">
        <f t="shared" si="1"/>
        <v>3.3038954370698611E-4</v>
      </c>
    </row>
    <row r="11" spans="1:14" x14ac:dyDescent="0.3">
      <c r="A11">
        <f t="shared" si="2"/>
        <v>10</v>
      </c>
      <c r="B11" s="5">
        <v>4.7460000000000004</v>
      </c>
      <c r="C11" s="5">
        <v>3</v>
      </c>
      <c r="D11" s="6">
        <v>1.5820000000000001</v>
      </c>
      <c r="E11">
        <f t="shared" si="0"/>
        <v>2.0176620799999823E-2</v>
      </c>
      <c r="F11">
        <f t="shared" si="1"/>
        <v>4.070960269069855E-4</v>
      </c>
    </row>
    <row r="12" spans="1:14" x14ac:dyDescent="0.3">
      <c r="A12">
        <f t="shared" si="2"/>
        <v>11</v>
      </c>
      <c r="B12" s="5">
        <v>6.3239999999999998</v>
      </c>
      <c r="C12" s="5">
        <v>4</v>
      </c>
      <c r="D12" s="6">
        <v>1.581</v>
      </c>
      <c r="E12">
        <f t="shared" si="0"/>
        <v>2.1176620799999935E-2</v>
      </c>
      <c r="F12">
        <f t="shared" si="1"/>
        <v>4.4844926850698988E-4</v>
      </c>
    </row>
    <row r="13" spans="1:14" x14ac:dyDescent="0.3">
      <c r="A13">
        <f t="shared" si="2"/>
        <v>12</v>
      </c>
      <c r="B13" s="5">
        <v>4.7569999999999997</v>
      </c>
      <c r="C13" s="5">
        <v>3</v>
      </c>
      <c r="D13" s="6">
        <v>1.5856666666666666</v>
      </c>
      <c r="E13">
        <f t="shared" si="0"/>
        <v>1.6509954133333338E-2</v>
      </c>
      <c r="F13">
        <f t="shared" si="1"/>
        <v>2.7257858548477057E-4</v>
      </c>
    </row>
    <row r="14" spans="1:14" x14ac:dyDescent="0.3">
      <c r="A14">
        <f t="shared" si="2"/>
        <v>13</v>
      </c>
      <c r="B14" s="5">
        <v>4.7670000000000003</v>
      </c>
      <c r="C14" s="5">
        <v>3</v>
      </c>
      <c r="D14" s="6">
        <v>1.5890000000000002</v>
      </c>
      <c r="E14">
        <f t="shared" si="0"/>
        <v>1.3176620799999705E-2</v>
      </c>
      <c r="F14">
        <f t="shared" si="1"/>
        <v>1.7362333570698486E-4</v>
      </c>
    </row>
    <row r="15" spans="1:14" x14ac:dyDescent="0.3">
      <c r="A15">
        <f t="shared" si="2"/>
        <v>14</v>
      </c>
      <c r="B15" s="5">
        <v>1.605</v>
      </c>
      <c r="C15" s="5">
        <v>1</v>
      </c>
      <c r="D15" s="6">
        <v>1.605</v>
      </c>
      <c r="E15">
        <f t="shared" si="0"/>
        <v>2.8233792000000868E-3</v>
      </c>
      <c r="F15">
        <f t="shared" si="1"/>
        <v>7.9714701069931305E-6</v>
      </c>
    </row>
    <row r="16" spans="1:14" x14ac:dyDescent="0.3">
      <c r="A16">
        <f t="shared" si="2"/>
        <v>15</v>
      </c>
      <c r="B16" s="5">
        <v>1.615</v>
      </c>
      <c r="C16" s="5">
        <v>1</v>
      </c>
      <c r="D16" s="6">
        <v>1.615</v>
      </c>
      <c r="E16">
        <f t="shared" si="0"/>
        <v>1.2823379200000096E-2</v>
      </c>
      <c r="F16">
        <f t="shared" si="1"/>
        <v>1.6443905410699509E-4</v>
      </c>
    </row>
    <row r="17" spans="1:6" x14ac:dyDescent="0.3">
      <c r="A17">
        <f t="shared" si="2"/>
        <v>16</v>
      </c>
      <c r="B17" s="5">
        <v>7.92</v>
      </c>
      <c r="C17" s="5">
        <v>5</v>
      </c>
      <c r="D17" s="6">
        <v>1.5840000000000001</v>
      </c>
      <c r="E17">
        <f t="shared" si="0"/>
        <v>1.8176620799999821E-2</v>
      </c>
      <c r="F17">
        <f t="shared" si="1"/>
        <v>3.3038954370698611E-4</v>
      </c>
    </row>
    <row r="18" spans="1:6" x14ac:dyDescent="0.3">
      <c r="A18">
        <f t="shared" si="2"/>
        <v>17</v>
      </c>
      <c r="B18" s="5">
        <v>7.9119999999999999</v>
      </c>
      <c r="C18" s="5">
        <v>5</v>
      </c>
      <c r="D18" s="6">
        <v>1.5824</v>
      </c>
      <c r="E18">
        <f t="shared" si="0"/>
        <v>1.9776620799999867E-2</v>
      </c>
      <c r="F18">
        <f t="shared" si="1"/>
        <v>3.9111473026698737E-4</v>
      </c>
    </row>
    <row r="19" spans="1:6" x14ac:dyDescent="0.3">
      <c r="A19">
        <f t="shared" si="2"/>
        <v>18</v>
      </c>
      <c r="B19" s="5">
        <v>4.8049999999999997</v>
      </c>
      <c r="C19" s="5">
        <v>3</v>
      </c>
      <c r="D19" s="6">
        <v>1.6016666666666666</v>
      </c>
      <c r="E19">
        <f t="shared" si="0"/>
        <v>5.0995413333332351E-4</v>
      </c>
      <c r="F19">
        <f t="shared" si="1"/>
        <v>2.6005321810374108E-7</v>
      </c>
    </row>
    <row r="20" spans="1:6" x14ac:dyDescent="0.3">
      <c r="A20">
        <f t="shared" si="2"/>
        <v>19</v>
      </c>
      <c r="B20" s="5">
        <v>4.8280000000000003</v>
      </c>
      <c r="C20" s="5">
        <v>3</v>
      </c>
      <c r="D20" s="6">
        <v>1.6093333333333335</v>
      </c>
      <c r="E20">
        <f t="shared" si="0"/>
        <v>7.156712533333609E-3</v>
      </c>
      <c r="F20">
        <f t="shared" si="1"/>
        <v>5.1218534284774365E-5</v>
      </c>
    </row>
    <row r="21" spans="1:6" x14ac:dyDescent="0.3">
      <c r="A21">
        <f t="shared" si="2"/>
        <v>20</v>
      </c>
      <c r="B21" s="5">
        <v>14.419</v>
      </c>
      <c r="C21" s="5">
        <v>9</v>
      </c>
      <c r="D21" s="6">
        <v>1.6021111111111113</v>
      </c>
      <c r="E21">
        <f t="shared" si="0"/>
        <v>6.5509688888631956E-5</v>
      </c>
      <c r="F21">
        <f t="shared" si="1"/>
        <v>4.2915193382853493E-9</v>
      </c>
    </row>
    <row r="22" spans="1:6" x14ac:dyDescent="0.3">
      <c r="A22">
        <f t="shared" si="2"/>
        <v>21</v>
      </c>
      <c r="B22" s="5">
        <v>3.1680000000000001</v>
      </c>
      <c r="C22" s="5">
        <v>2</v>
      </c>
      <c r="D22" s="6">
        <v>1.5840000000000001</v>
      </c>
      <c r="E22">
        <f t="shared" si="0"/>
        <v>1.8176620799999821E-2</v>
      </c>
      <c r="F22">
        <f t="shared" si="1"/>
        <v>3.3038954370698611E-4</v>
      </c>
    </row>
    <row r="23" spans="1:6" x14ac:dyDescent="0.3">
      <c r="A23">
        <f t="shared" si="2"/>
        <v>22</v>
      </c>
      <c r="B23" s="5">
        <v>32.499000000000002</v>
      </c>
      <c r="C23" s="5">
        <v>20</v>
      </c>
      <c r="D23" s="6">
        <v>1.6249500000000001</v>
      </c>
      <c r="E23">
        <f t="shared" si="0"/>
        <v>2.2773379200000221E-2</v>
      </c>
      <c r="F23">
        <f t="shared" si="1"/>
        <v>5.1862680018700271E-4</v>
      </c>
    </row>
    <row r="24" spans="1:6" x14ac:dyDescent="0.3">
      <c r="A24">
        <f t="shared" si="2"/>
        <v>23</v>
      </c>
      <c r="B24" s="5">
        <v>12.734</v>
      </c>
      <c r="C24" s="5">
        <v>8</v>
      </c>
      <c r="D24" s="6">
        <v>1.59175</v>
      </c>
      <c r="E24">
        <f t="shared" si="0"/>
        <v>1.0426620799999897E-2</v>
      </c>
      <c r="F24">
        <f t="shared" si="1"/>
        <v>1.0871442130699049E-4</v>
      </c>
    </row>
    <row r="25" spans="1:6" x14ac:dyDescent="0.3">
      <c r="A25">
        <f t="shared" si="2"/>
        <v>24</v>
      </c>
      <c r="B25" s="5">
        <v>9.6300000000000008</v>
      </c>
      <c r="C25" s="5">
        <v>6</v>
      </c>
      <c r="D25" s="6">
        <v>1.6050000000000002</v>
      </c>
      <c r="E25">
        <f t="shared" si="0"/>
        <v>2.8233792000003088E-3</v>
      </c>
      <c r="F25">
        <f t="shared" si="1"/>
        <v>7.9714701069943841E-6</v>
      </c>
    </row>
    <row r="26" spans="1:6" x14ac:dyDescent="0.3">
      <c r="A26">
        <f t="shared" si="2"/>
        <v>25</v>
      </c>
      <c r="B26" s="5">
        <v>20.802</v>
      </c>
      <c r="C26" s="5">
        <v>13</v>
      </c>
      <c r="D26" s="6">
        <v>1.600153846153846</v>
      </c>
      <c r="E26">
        <f t="shared" si="0"/>
        <v>2.0227746461538576E-3</v>
      </c>
      <c r="F26">
        <f t="shared" si="1"/>
        <v>4.0916172691228636E-6</v>
      </c>
    </row>
    <row r="27" spans="1:6" x14ac:dyDescent="0.3">
      <c r="A27">
        <f t="shared" si="2"/>
        <v>26</v>
      </c>
      <c r="B27" s="5">
        <v>32.188000000000002</v>
      </c>
      <c r="C27" s="5">
        <v>20</v>
      </c>
      <c r="D27" s="6">
        <v>1.6094000000000002</v>
      </c>
      <c r="E27">
        <f t="shared" si="0"/>
        <v>7.2233792000002683E-3</v>
      </c>
      <c r="F27">
        <f t="shared" si="1"/>
        <v>5.2177207066996516E-5</v>
      </c>
    </row>
    <row r="28" spans="1:6" x14ac:dyDescent="0.3">
      <c r="A28">
        <f t="shared" si="2"/>
        <v>27</v>
      </c>
      <c r="B28" s="5">
        <v>17.687000000000001</v>
      </c>
      <c r="C28" s="5">
        <v>11</v>
      </c>
      <c r="D28" s="6">
        <v>1.607909090909091</v>
      </c>
      <c r="E28">
        <f t="shared" si="0"/>
        <v>5.732470109091059E-3</v>
      </c>
      <c r="F28">
        <f t="shared" si="1"/>
        <v>3.286121355162246E-5</v>
      </c>
    </row>
    <row r="29" spans="1:6" x14ac:dyDescent="0.3">
      <c r="A29">
        <f t="shared" si="2"/>
        <v>28</v>
      </c>
      <c r="B29" s="5">
        <v>18.968</v>
      </c>
      <c r="C29" s="5">
        <v>12</v>
      </c>
      <c r="D29" s="6">
        <v>1.5806666666666667</v>
      </c>
      <c r="E29">
        <f t="shared" si="0"/>
        <v>2.1509954133333231E-2</v>
      </c>
      <c r="F29">
        <f t="shared" si="1"/>
        <v>4.6267812681809937E-4</v>
      </c>
    </row>
    <row r="30" spans="1:6" x14ac:dyDescent="0.3">
      <c r="A30">
        <f t="shared" si="2"/>
        <v>29</v>
      </c>
      <c r="B30" s="5">
        <v>1.6180000000000001</v>
      </c>
      <c r="C30" s="5">
        <v>1</v>
      </c>
      <c r="D30" s="6">
        <v>1.6180000000000001</v>
      </c>
      <c r="E30">
        <f t="shared" si="0"/>
        <v>1.5823379200000209E-2</v>
      </c>
      <c r="F30">
        <f t="shared" si="1"/>
        <v>2.5037932930699927E-4</v>
      </c>
    </row>
    <row r="31" spans="1:6" x14ac:dyDescent="0.3">
      <c r="A31">
        <f t="shared" si="2"/>
        <v>30</v>
      </c>
      <c r="B31" s="5">
        <v>17.472999999999999</v>
      </c>
      <c r="C31" s="5">
        <v>11</v>
      </c>
      <c r="D31" s="6">
        <v>1.5884545454545453</v>
      </c>
      <c r="E31">
        <f t="shared" si="0"/>
        <v>1.3722075345454554E-2</v>
      </c>
      <c r="F31">
        <f t="shared" si="1"/>
        <v>1.8829535178633173E-4</v>
      </c>
    </row>
    <row r="32" spans="1:6" x14ac:dyDescent="0.3">
      <c r="A32">
        <f t="shared" si="2"/>
        <v>31</v>
      </c>
      <c r="B32" s="5">
        <v>3.242</v>
      </c>
      <c r="C32" s="5">
        <v>2</v>
      </c>
      <c r="D32" s="6">
        <v>1.621</v>
      </c>
      <c r="E32">
        <f t="shared" si="0"/>
        <v>1.8823379200000101E-2</v>
      </c>
      <c r="F32">
        <f t="shared" si="1"/>
        <v>3.5431960450699646E-4</v>
      </c>
    </row>
    <row r="33" spans="1:6" x14ac:dyDescent="0.3">
      <c r="A33">
        <f t="shared" si="2"/>
        <v>32</v>
      </c>
      <c r="B33" s="5">
        <v>66.022999999999996</v>
      </c>
      <c r="C33" s="5">
        <v>41</v>
      </c>
      <c r="D33" s="6">
        <v>1.6103170731707317</v>
      </c>
      <c r="E33">
        <f t="shared" si="0"/>
        <v>8.1404523707317988E-3</v>
      </c>
      <c r="F33">
        <f t="shared" si="1"/>
        <v>6.6266964800152969E-5</v>
      </c>
    </row>
    <row r="34" spans="1:6" x14ac:dyDescent="0.3">
      <c r="A34">
        <f t="shared" si="2"/>
        <v>33</v>
      </c>
      <c r="B34" s="5">
        <v>14.606999999999999</v>
      </c>
      <c r="C34" s="5">
        <v>9</v>
      </c>
      <c r="D34" s="6">
        <v>1.623</v>
      </c>
      <c r="E34">
        <f t="shared" si="0"/>
        <v>2.0823379200000103E-2</v>
      </c>
      <c r="F34">
        <f t="shared" si="1"/>
        <v>4.336131213069969E-4</v>
      </c>
    </row>
    <row r="35" spans="1:6" x14ac:dyDescent="0.3">
      <c r="A35">
        <f t="shared" si="2"/>
        <v>34</v>
      </c>
      <c r="B35" s="5">
        <v>6.34</v>
      </c>
      <c r="C35" s="5">
        <v>4</v>
      </c>
      <c r="D35" s="6">
        <v>1.585</v>
      </c>
      <c r="E35">
        <f t="shared" si="0"/>
        <v>1.7176620799999931E-2</v>
      </c>
      <c r="F35">
        <f t="shared" si="1"/>
        <v>2.9503630210699029E-4</v>
      </c>
    </row>
    <row r="36" spans="1:6" x14ac:dyDescent="0.3">
      <c r="A36">
        <f t="shared" si="2"/>
        <v>35</v>
      </c>
      <c r="B36" s="5">
        <v>22.3</v>
      </c>
      <c r="C36" s="5">
        <v>14</v>
      </c>
      <c r="D36" s="6">
        <v>1.592857142857143</v>
      </c>
      <c r="E36">
        <f t="shared" si="0"/>
        <v>9.3194779428569241E-3</v>
      </c>
      <c r="F36">
        <f t="shared" si="1"/>
        <v>8.6852669127396721E-5</v>
      </c>
    </row>
    <row r="37" spans="1:6" x14ac:dyDescent="0.3">
      <c r="A37">
        <f t="shared" si="2"/>
        <v>36</v>
      </c>
      <c r="B37" s="5">
        <v>19.513999999999999</v>
      </c>
      <c r="C37" s="5">
        <v>12</v>
      </c>
      <c r="D37" s="6">
        <v>1.6261666666666665</v>
      </c>
      <c r="E37">
        <f t="shared" si="0"/>
        <v>2.3990045866666643E-2</v>
      </c>
      <c r="F37">
        <f t="shared" si="1"/>
        <v>5.7552230068476926E-4</v>
      </c>
    </row>
    <row r="38" spans="1:6" x14ac:dyDescent="0.3">
      <c r="A38">
        <f t="shared" si="2"/>
        <v>37</v>
      </c>
      <c r="B38" s="5">
        <v>6.4580000000000002</v>
      </c>
      <c r="C38" s="5">
        <v>4</v>
      </c>
      <c r="D38" s="6">
        <v>1.6145</v>
      </c>
      <c r="E38">
        <f t="shared" si="0"/>
        <v>1.2323379200000151E-2</v>
      </c>
      <c r="F38">
        <f t="shared" si="1"/>
        <v>1.5186567490699636E-4</v>
      </c>
    </row>
    <row r="39" spans="1:6" x14ac:dyDescent="0.3">
      <c r="A39">
        <f t="shared" si="2"/>
        <v>38</v>
      </c>
      <c r="B39" s="5">
        <v>9.7360000000000007</v>
      </c>
      <c r="C39" s="5">
        <v>6</v>
      </c>
      <c r="D39" s="6">
        <v>1.6226666666666667</v>
      </c>
      <c r="E39">
        <f t="shared" si="0"/>
        <v>2.0490045866666806E-2</v>
      </c>
      <c r="F39">
        <f t="shared" si="1"/>
        <v>4.1984197961810946E-4</v>
      </c>
    </row>
    <row r="40" spans="1:6" x14ac:dyDescent="0.3">
      <c r="A40">
        <f t="shared" si="2"/>
        <v>39</v>
      </c>
      <c r="B40" s="5">
        <v>4.8849999999999998</v>
      </c>
      <c r="C40" s="5">
        <v>3</v>
      </c>
      <c r="D40" s="6">
        <v>1.6283333333333332</v>
      </c>
      <c r="E40">
        <f t="shared" si="0"/>
        <v>2.6156712533333293E-2</v>
      </c>
      <c r="F40">
        <f t="shared" si="1"/>
        <v>6.8417361055143498E-4</v>
      </c>
    </row>
    <row r="41" spans="1:6" x14ac:dyDescent="0.3">
      <c r="A41">
        <f t="shared" si="2"/>
        <v>40</v>
      </c>
      <c r="B41" s="5">
        <v>9.6059999999999999</v>
      </c>
      <c r="C41" s="5">
        <v>6</v>
      </c>
      <c r="D41" s="6">
        <v>1.601</v>
      </c>
      <c r="E41">
        <f t="shared" si="0"/>
        <v>1.1766207999999168E-3</v>
      </c>
      <c r="F41">
        <f t="shared" si="1"/>
        <v>1.3844365069924441E-6</v>
      </c>
    </row>
    <row r="42" spans="1:6" x14ac:dyDescent="0.3">
      <c r="A42">
        <f t="shared" si="2"/>
        <v>41</v>
      </c>
      <c r="B42" s="5">
        <v>1.6140000000000001</v>
      </c>
      <c r="C42" s="5">
        <v>1</v>
      </c>
      <c r="D42" s="6">
        <v>1.6140000000000001</v>
      </c>
      <c r="E42">
        <f t="shared" si="0"/>
        <v>1.1823379200000206E-2</v>
      </c>
      <c r="F42">
        <f t="shared" si="1"/>
        <v>1.3979229570699751E-4</v>
      </c>
    </row>
    <row r="43" spans="1:6" x14ac:dyDescent="0.3">
      <c r="A43">
        <f t="shared" si="2"/>
        <v>42</v>
      </c>
      <c r="B43" s="5">
        <v>3.2149999999999999</v>
      </c>
      <c r="C43" s="5">
        <v>2</v>
      </c>
      <c r="D43" s="6">
        <v>1.6074999999999999</v>
      </c>
      <c r="E43">
        <f t="shared" si="0"/>
        <v>5.3233792000000335E-3</v>
      </c>
      <c r="F43">
        <f t="shared" si="1"/>
        <v>2.8338366106992997E-5</v>
      </c>
    </row>
    <row r="44" spans="1:6" x14ac:dyDescent="0.3">
      <c r="A44">
        <f t="shared" si="2"/>
        <v>43</v>
      </c>
      <c r="B44" s="5">
        <v>14.523</v>
      </c>
      <c r="C44" s="5">
        <v>9</v>
      </c>
      <c r="D44" s="6">
        <v>1.6136666666666666</v>
      </c>
      <c r="E44">
        <f t="shared" si="0"/>
        <v>1.1490045866666687E-2</v>
      </c>
      <c r="F44">
        <f t="shared" si="1"/>
        <v>1.3202115401810422E-4</v>
      </c>
    </row>
    <row r="45" spans="1:6" x14ac:dyDescent="0.3">
      <c r="A45">
        <f t="shared" si="2"/>
        <v>44</v>
      </c>
      <c r="B45" s="5">
        <v>3.16</v>
      </c>
      <c r="C45" s="5">
        <v>2</v>
      </c>
      <c r="D45" s="6">
        <v>1.58</v>
      </c>
      <c r="E45">
        <f t="shared" si="0"/>
        <v>2.2176620799999824E-2</v>
      </c>
      <c r="F45">
        <f t="shared" si="1"/>
        <v>4.9180251010698482E-4</v>
      </c>
    </row>
    <row r="46" spans="1:6" x14ac:dyDescent="0.3">
      <c r="A46">
        <f t="shared" si="2"/>
        <v>45</v>
      </c>
      <c r="B46" s="5">
        <v>1.6</v>
      </c>
      <c r="C46" s="5">
        <v>1</v>
      </c>
      <c r="D46" s="6">
        <v>1.6</v>
      </c>
      <c r="E46">
        <f t="shared" si="0"/>
        <v>2.1766207999998066E-3</v>
      </c>
      <c r="F46">
        <f t="shared" si="1"/>
        <v>4.737678106991798E-6</v>
      </c>
    </row>
    <row r="47" spans="1:6" x14ac:dyDescent="0.3">
      <c r="A47">
        <f t="shared" si="2"/>
        <v>46</v>
      </c>
      <c r="B47" s="5">
        <v>83.1</v>
      </c>
      <c r="C47" s="5">
        <v>52</v>
      </c>
      <c r="D47" s="6">
        <v>1.598076923076923</v>
      </c>
      <c r="E47">
        <f t="shared" si="0"/>
        <v>4.0996977230769449E-3</v>
      </c>
      <c r="F47">
        <f t="shared" si="1"/>
        <v>1.6807521420602286E-5</v>
      </c>
    </row>
    <row r="48" spans="1:6" x14ac:dyDescent="0.3">
      <c r="A48">
        <f t="shared" si="2"/>
        <v>47</v>
      </c>
      <c r="B48" s="5">
        <v>6.4109999999999996</v>
      </c>
      <c r="C48" s="5">
        <v>4</v>
      </c>
      <c r="D48" s="6">
        <v>1.6027499999999999</v>
      </c>
      <c r="E48">
        <f t="shared" si="0"/>
        <v>5.7337920000000153E-4</v>
      </c>
      <c r="F48">
        <f t="shared" si="1"/>
        <v>3.2876370699264176E-7</v>
      </c>
    </row>
    <row r="49" spans="1:6" x14ac:dyDescent="0.3">
      <c r="A49">
        <f t="shared" si="2"/>
        <v>48</v>
      </c>
      <c r="B49" s="5">
        <v>66.736000000000004</v>
      </c>
      <c r="C49" s="5">
        <v>42</v>
      </c>
      <c r="D49" s="6">
        <v>1.5889523809523811</v>
      </c>
      <c r="E49">
        <f t="shared" si="0"/>
        <v>1.3224239847618779E-2</v>
      </c>
      <c r="F49">
        <f t="shared" si="1"/>
        <v>1.7488051954734835E-4</v>
      </c>
    </row>
    <row r="50" spans="1:6" x14ac:dyDescent="0.3">
      <c r="A50">
        <f t="shared" si="2"/>
        <v>49</v>
      </c>
      <c r="B50" s="5">
        <v>17.471</v>
      </c>
      <c r="C50" s="5">
        <v>11</v>
      </c>
      <c r="D50" s="6">
        <v>1.5882727272727273</v>
      </c>
      <c r="E50">
        <f t="shared" si="0"/>
        <v>1.3903893527272615E-2</v>
      </c>
      <c r="F50">
        <f t="shared" si="1"/>
        <v>1.9331825521773331E-4</v>
      </c>
    </row>
    <row r="51" spans="1:6" x14ac:dyDescent="0.3">
      <c r="A51">
        <f t="shared" si="2"/>
        <v>50</v>
      </c>
      <c r="B51" s="5">
        <v>24.004000000000001</v>
      </c>
      <c r="C51" s="5">
        <v>15</v>
      </c>
      <c r="D51" s="6">
        <v>1.6002666666666667</v>
      </c>
      <c r="E51">
        <f t="shared" si="0"/>
        <v>1.9099541333331693E-3</v>
      </c>
      <c r="F51">
        <f t="shared" si="1"/>
        <v>3.647924791436458E-6</v>
      </c>
    </row>
    <row r="52" spans="1:6" x14ac:dyDescent="0.3">
      <c r="A52">
        <f t="shared" si="2"/>
        <v>51</v>
      </c>
      <c r="B52" s="5">
        <v>21.032</v>
      </c>
      <c r="C52" s="5">
        <v>13</v>
      </c>
      <c r="D52" s="6">
        <v>1.6178461538461539</v>
      </c>
      <c r="E52">
        <f t="shared" si="0"/>
        <v>1.5669533046154038E-2</v>
      </c>
      <c r="F52">
        <f t="shared" si="1"/>
        <v>2.4553426588451346E-4</v>
      </c>
    </row>
    <row r="53" spans="1:6" x14ac:dyDescent="0.3">
      <c r="A53">
        <f t="shared" si="2"/>
        <v>52</v>
      </c>
      <c r="B53" s="5">
        <v>48.47</v>
      </c>
      <c r="C53" s="5">
        <v>30</v>
      </c>
      <c r="D53" s="6">
        <v>1.6156666666666666</v>
      </c>
      <c r="E53">
        <f t="shared" si="0"/>
        <v>1.3490045866666689E-2</v>
      </c>
      <c r="F53">
        <f t="shared" si="1"/>
        <v>1.8198133748477101E-4</v>
      </c>
    </row>
    <row r="54" spans="1:6" x14ac:dyDescent="0.3">
      <c r="A54">
        <f t="shared" si="2"/>
        <v>53</v>
      </c>
      <c r="B54" s="5">
        <v>1.62</v>
      </c>
      <c r="C54" s="5">
        <v>1</v>
      </c>
      <c r="D54" s="6">
        <v>1.62</v>
      </c>
      <c r="E54">
        <f t="shared" si="0"/>
        <v>1.7823379200000211E-2</v>
      </c>
      <c r="F54">
        <f t="shared" si="1"/>
        <v>3.1767284610700018E-4</v>
      </c>
    </row>
    <row r="55" spans="1:6" x14ac:dyDescent="0.3">
      <c r="A55">
        <f t="shared" si="2"/>
        <v>54</v>
      </c>
      <c r="B55" s="5">
        <v>1.5980000000000001</v>
      </c>
      <c r="C55" s="5">
        <v>1</v>
      </c>
      <c r="D55" s="6">
        <v>1.5980000000000001</v>
      </c>
      <c r="E55">
        <f t="shared" si="0"/>
        <v>4.1766207999998084E-3</v>
      </c>
      <c r="F55">
        <f t="shared" si="1"/>
        <v>1.744416130699104E-5</v>
      </c>
    </row>
    <row r="56" spans="1:6" x14ac:dyDescent="0.3">
      <c r="A56">
        <f t="shared" si="2"/>
        <v>55</v>
      </c>
      <c r="B56" s="5">
        <v>6.3369999999999997</v>
      </c>
      <c r="C56" s="5">
        <v>4</v>
      </c>
      <c r="D56" s="6">
        <v>1.5842499999999999</v>
      </c>
      <c r="E56">
        <f t="shared" si="0"/>
        <v>1.7926620799999959E-2</v>
      </c>
      <c r="F56">
        <f t="shared" si="1"/>
        <v>3.2136373330699116E-4</v>
      </c>
    </row>
    <row r="57" spans="1:6" x14ac:dyDescent="0.3">
      <c r="A57">
        <f t="shared" si="2"/>
        <v>56</v>
      </c>
      <c r="B57" s="5">
        <v>20.65</v>
      </c>
      <c r="C57" s="5">
        <v>13</v>
      </c>
      <c r="D57" s="6">
        <v>1.5884615384615384</v>
      </c>
      <c r="E57">
        <f t="shared" si="0"/>
        <v>1.3715082338461526E-2</v>
      </c>
      <c r="F57">
        <f t="shared" si="1"/>
        <v>1.8810348355077929E-4</v>
      </c>
    </row>
    <row r="58" spans="1:6" x14ac:dyDescent="0.3">
      <c r="A58">
        <f t="shared" si="2"/>
        <v>57</v>
      </c>
      <c r="B58" s="5">
        <v>6.4610000000000003</v>
      </c>
      <c r="C58" s="5">
        <v>4</v>
      </c>
      <c r="D58" s="6">
        <v>1.6152500000000001</v>
      </c>
      <c r="E58">
        <f t="shared" si="0"/>
        <v>1.3073379200000179E-2</v>
      </c>
      <c r="F58">
        <f t="shared" si="1"/>
        <v>1.7091324370699731E-4</v>
      </c>
    </row>
    <row r="59" spans="1:6" x14ac:dyDescent="0.3">
      <c r="A59">
        <f t="shared" si="2"/>
        <v>58</v>
      </c>
      <c r="B59" s="5">
        <v>24.009</v>
      </c>
      <c r="C59" s="5">
        <v>15</v>
      </c>
      <c r="D59" s="6">
        <v>1.6006</v>
      </c>
      <c r="E59">
        <f t="shared" si="0"/>
        <v>1.5766207999998727E-3</v>
      </c>
      <c r="F59">
        <f t="shared" si="1"/>
        <v>2.4857331469922385E-6</v>
      </c>
    </row>
    <row r="60" spans="1:6" x14ac:dyDescent="0.3">
      <c r="A60">
        <f t="shared" si="2"/>
        <v>59</v>
      </c>
      <c r="B60" s="5">
        <v>4.7709999999999999</v>
      </c>
      <c r="C60" s="5">
        <v>3</v>
      </c>
      <c r="D60" s="6">
        <v>1.5903333333333334</v>
      </c>
      <c r="E60">
        <f t="shared" si="0"/>
        <v>1.1843287466666519E-2</v>
      </c>
      <c r="F60">
        <f t="shared" si="1"/>
        <v>1.4026345801810026E-4</v>
      </c>
    </row>
    <row r="61" spans="1:6" x14ac:dyDescent="0.3">
      <c r="A61">
        <f t="shared" si="2"/>
        <v>60</v>
      </c>
      <c r="B61" s="5">
        <v>11.201000000000001</v>
      </c>
      <c r="C61" s="5">
        <v>7</v>
      </c>
      <c r="D61" s="6">
        <v>1.6001428571428573</v>
      </c>
      <c r="E61">
        <f t="shared" si="0"/>
        <v>2.0337636571425843E-3</v>
      </c>
      <c r="F61">
        <f t="shared" si="1"/>
        <v>4.1361946131139794E-6</v>
      </c>
    </row>
    <row r="62" spans="1:6" x14ac:dyDescent="0.3">
      <c r="A62">
        <f t="shared" si="2"/>
        <v>61</v>
      </c>
      <c r="B62" s="5">
        <v>21.001000000000001</v>
      </c>
      <c r="C62" s="5">
        <v>13</v>
      </c>
      <c r="D62" s="6">
        <v>1.6154615384615385</v>
      </c>
      <c r="E62">
        <f t="shared" si="0"/>
        <v>1.3284917661538609E-2</v>
      </c>
      <c r="F62">
        <f t="shared" si="1"/>
        <v>1.7648903727386045E-4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BA713-CBF8-40BD-BDDF-248B30A3ADC2}">
  <dimension ref="A1:H32"/>
  <sheetViews>
    <sheetView workbookViewId="0">
      <selection activeCell="J29" sqref="J29"/>
    </sheetView>
  </sheetViews>
  <sheetFormatPr defaultRowHeight="14" x14ac:dyDescent="0.3"/>
  <cols>
    <col min="4" max="4" width="9.58203125" bestFit="1" customWidth="1"/>
  </cols>
  <sheetData>
    <row r="1" spans="1:8" x14ac:dyDescent="0.3">
      <c r="A1" t="s">
        <v>3</v>
      </c>
      <c r="B1" s="5" t="s">
        <v>10</v>
      </c>
      <c r="C1" s="5" t="s">
        <v>1</v>
      </c>
      <c r="D1" s="5" t="s">
        <v>11</v>
      </c>
      <c r="E1" t="s">
        <v>3</v>
      </c>
      <c r="F1" s="5" t="s">
        <v>10</v>
      </c>
      <c r="G1" s="5" t="s">
        <v>1</v>
      </c>
      <c r="H1" s="5" t="s">
        <v>11</v>
      </c>
    </row>
    <row r="2" spans="1:8" x14ac:dyDescent="0.3">
      <c r="A2">
        <v>1</v>
      </c>
      <c r="B2" s="2">
        <v>11.106999999999999</v>
      </c>
      <c r="C2" s="5">
        <v>7</v>
      </c>
      <c r="D2" s="8">
        <v>1.5867142857142855</v>
      </c>
      <c r="E2" s="7">
        <v>32</v>
      </c>
      <c r="F2" s="2">
        <v>66.022999999999996</v>
      </c>
      <c r="G2" s="5">
        <v>41</v>
      </c>
      <c r="H2" s="8">
        <v>1.6103170731707317</v>
      </c>
    </row>
    <row r="3" spans="1:8" x14ac:dyDescent="0.3">
      <c r="A3">
        <f>A2+1</f>
        <v>2</v>
      </c>
      <c r="B3" s="2">
        <v>34.912999999999997</v>
      </c>
      <c r="C3" s="5">
        <v>22</v>
      </c>
      <c r="D3" s="8">
        <v>1.5869545454545453</v>
      </c>
      <c r="E3">
        <f>E2+1</f>
        <v>33</v>
      </c>
      <c r="F3" s="2">
        <v>14.606999999999999</v>
      </c>
      <c r="G3" s="5">
        <v>9</v>
      </c>
      <c r="H3" s="8">
        <v>1.623</v>
      </c>
    </row>
    <row r="4" spans="1:8" x14ac:dyDescent="0.3">
      <c r="A4">
        <f t="shared" ref="A4:A32" si="0">A3+1</f>
        <v>3</v>
      </c>
      <c r="B4" s="2">
        <v>4.835</v>
      </c>
      <c r="C4" s="5">
        <v>3</v>
      </c>
      <c r="D4" s="8">
        <v>1.6116666666666666</v>
      </c>
      <c r="E4">
        <f t="shared" ref="E4:E31" si="1">E3+1</f>
        <v>34</v>
      </c>
      <c r="F4" s="2">
        <v>6.34</v>
      </c>
      <c r="G4" s="5">
        <v>4</v>
      </c>
      <c r="H4" s="8">
        <v>1.585</v>
      </c>
    </row>
    <row r="5" spans="1:8" x14ac:dyDescent="0.3">
      <c r="A5">
        <f t="shared" si="0"/>
        <v>4</v>
      </c>
      <c r="B5" s="2">
        <v>40.700000000000003</v>
      </c>
      <c r="C5" s="5">
        <v>25</v>
      </c>
      <c r="D5" s="8">
        <v>1.6280000000000001</v>
      </c>
      <c r="E5">
        <f t="shared" si="1"/>
        <v>35</v>
      </c>
      <c r="F5" s="2">
        <v>22.3</v>
      </c>
      <c r="G5" s="5">
        <v>14</v>
      </c>
      <c r="H5" s="8">
        <v>1.592857142857143</v>
      </c>
    </row>
    <row r="6" spans="1:8" x14ac:dyDescent="0.3">
      <c r="A6">
        <f t="shared" si="0"/>
        <v>5</v>
      </c>
      <c r="B6" s="2">
        <v>4.7460000000000004</v>
      </c>
      <c r="C6" s="5">
        <v>3</v>
      </c>
      <c r="D6" s="8">
        <v>1.5820000000000001</v>
      </c>
      <c r="E6">
        <f t="shared" si="1"/>
        <v>36</v>
      </c>
      <c r="F6" s="2">
        <v>19.513999999999999</v>
      </c>
      <c r="G6" s="5">
        <v>12</v>
      </c>
      <c r="H6" s="8">
        <v>1.6261666666666665</v>
      </c>
    </row>
    <row r="7" spans="1:8" x14ac:dyDescent="0.3">
      <c r="A7">
        <f t="shared" si="0"/>
        <v>6</v>
      </c>
      <c r="B7" s="2">
        <v>3.1669999999999998</v>
      </c>
      <c r="C7" s="5">
        <v>2</v>
      </c>
      <c r="D7" s="8">
        <v>1.5834999999999999</v>
      </c>
      <c r="E7">
        <f t="shared" si="1"/>
        <v>37</v>
      </c>
      <c r="F7" s="2">
        <v>6.4580000000000002</v>
      </c>
      <c r="G7" s="5">
        <v>4</v>
      </c>
      <c r="H7" s="8">
        <v>1.6145</v>
      </c>
    </row>
    <row r="8" spans="1:8" x14ac:dyDescent="0.3">
      <c r="A8">
        <f t="shared" si="0"/>
        <v>7</v>
      </c>
      <c r="B8" s="2">
        <v>9.6780000000000008</v>
      </c>
      <c r="C8" s="5">
        <v>6</v>
      </c>
      <c r="D8" s="8">
        <v>1.6130000000000002</v>
      </c>
      <c r="E8">
        <f t="shared" si="1"/>
        <v>38</v>
      </c>
      <c r="F8" s="2">
        <v>9.7360000000000007</v>
      </c>
      <c r="G8" s="5">
        <v>6</v>
      </c>
      <c r="H8" s="8">
        <v>1.6226666666666667</v>
      </c>
    </row>
    <row r="9" spans="1:8" x14ac:dyDescent="0.3">
      <c r="A9">
        <f t="shared" si="0"/>
        <v>8</v>
      </c>
      <c r="B9" s="2">
        <v>3.1890000000000001</v>
      </c>
      <c r="C9" s="5">
        <v>2</v>
      </c>
      <c r="D9" s="8">
        <v>1.5945</v>
      </c>
      <c r="E9">
        <f t="shared" si="1"/>
        <v>39</v>
      </c>
      <c r="F9" s="2">
        <v>4.8849999999999998</v>
      </c>
      <c r="G9" s="5">
        <v>3</v>
      </c>
      <c r="H9" s="8">
        <v>1.6283333333333332</v>
      </c>
    </row>
    <row r="10" spans="1:8" x14ac:dyDescent="0.3">
      <c r="A10">
        <f t="shared" si="0"/>
        <v>9</v>
      </c>
      <c r="B10" s="2">
        <v>1.5840000000000001</v>
      </c>
      <c r="C10" s="5">
        <v>1</v>
      </c>
      <c r="D10" s="8">
        <v>1.5840000000000001</v>
      </c>
      <c r="E10">
        <f t="shared" si="1"/>
        <v>40</v>
      </c>
      <c r="F10" s="2">
        <v>9.6059999999999999</v>
      </c>
      <c r="G10" s="5">
        <v>6</v>
      </c>
      <c r="H10" s="8">
        <v>1.601</v>
      </c>
    </row>
    <row r="11" spans="1:8" x14ac:dyDescent="0.3">
      <c r="A11">
        <f t="shared" si="0"/>
        <v>10</v>
      </c>
      <c r="B11" s="2">
        <v>4.7460000000000004</v>
      </c>
      <c r="C11" s="5">
        <v>3</v>
      </c>
      <c r="D11" s="8">
        <v>1.5820000000000001</v>
      </c>
      <c r="E11">
        <f t="shared" si="1"/>
        <v>41</v>
      </c>
      <c r="F11" s="2">
        <v>1.6140000000000001</v>
      </c>
      <c r="G11" s="5">
        <v>1</v>
      </c>
      <c r="H11" s="8">
        <v>1.6140000000000001</v>
      </c>
    </row>
    <row r="12" spans="1:8" x14ac:dyDescent="0.3">
      <c r="A12">
        <f t="shared" si="0"/>
        <v>11</v>
      </c>
      <c r="B12" s="2">
        <v>6.3239999999999998</v>
      </c>
      <c r="C12" s="5">
        <v>4</v>
      </c>
      <c r="D12" s="8">
        <v>1.581</v>
      </c>
      <c r="E12">
        <f t="shared" si="1"/>
        <v>42</v>
      </c>
      <c r="F12" s="2">
        <v>3.2149999999999999</v>
      </c>
      <c r="G12" s="5">
        <v>2</v>
      </c>
      <c r="H12" s="8">
        <v>1.6074999999999999</v>
      </c>
    </row>
    <row r="13" spans="1:8" x14ac:dyDescent="0.3">
      <c r="A13">
        <f t="shared" si="0"/>
        <v>12</v>
      </c>
      <c r="B13" s="2">
        <v>4.7569999999999997</v>
      </c>
      <c r="C13" s="5">
        <v>3</v>
      </c>
      <c r="D13" s="8">
        <v>1.5856666666666666</v>
      </c>
      <c r="E13">
        <f t="shared" si="1"/>
        <v>43</v>
      </c>
      <c r="F13" s="2">
        <v>14.523</v>
      </c>
      <c r="G13" s="5">
        <v>9</v>
      </c>
      <c r="H13" s="8">
        <v>1.6136666666666666</v>
      </c>
    </row>
    <row r="14" spans="1:8" x14ac:dyDescent="0.3">
      <c r="A14">
        <f t="shared" si="0"/>
        <v>13</v>
      </c>
      <c r="B14" s="2">
        <v>4.7670000000000003</v>
      </c>
      <c r="C14" s="5">
        <v>3</v>
      </c>
      <c r="D14" s="8">
        <v>1.5890000000000002</v>
      </c>
      <c r="E14">
        <f t="shared" si="1"/>
        <v>44</v>
      </c>
      <c r="F14" s="2">
        <v>3.16</v>
      </c>
      <c r="G14" s="5">
        <v>2</v>
      </c>
      <c r="H14" s="8">
        <v>1.58</v>
      </c>
    </row>
    <row r="15" spans="1:8" x14ac:dyDescent="0.3">
      <c r="A15">
        <f t="shared" si="0"/>
        <v>14</v>
      </c>
      <c r="B15" s="2">
        <v>1.605</v>
      </c>
      <c r="C15" s="5">
        <v>1</v>
      </c>
      <c r="D15" s="8">
        <v>1.605</v>
      </c>
      <c r="E15">
        <f t="shared" si="1"/>
        <v>45</v>
      </c>
      <c r="F15" s="2">
        <v>1.6</v>
      </c>
      <c r="G15" s="5">
        <v>1</v>
      </c>
      <c r="H15" s="8">
        <v>1.6</v>
      </c>
    </row>
    <row r="16" spans="1:8" x14ac:dyDescent="0.3">
      <c r="A16">
        <f t="shared" si="0"/>
        <v>15</v>
      </c>
      <c r="B16" s="2">
        <v>1.615</v>
      </c>
      <c r="C16" s="5">
        <v>1</v>
      </c>
      <c r="D16" s="8">
        <v>1.615</v>
      </c>
      <c r="E16">
        <f t="shared" si="1"/>
        <v>46</v>
      </c>
      <c r="F16" s="2">
        <v>83.1</v>
      </c>
      <c r="G16" s="5">
        <v>52</v>
      </c>
      <c r="H16" s="8">
        <v>1.598076923076923</v>
      </c>
    </row>
    <row r="17" spans="1:8" x14ac:dyDescent="0.3">
      <c r="A17">
        <f t="shared" si="0"/>
        <v>16</v>
      </c>
      <c r="B17" s="2">
        <v>7.92</v>
      </c>
      <c r="C17" s="5">
        <v>5</v>
      </c>
      <c r="D17" s="8">
        <v>1.5840000000000001</v>
      </c>
      <c r="E17">
        <f t="shared" si="1"/>
        <v>47</v>
      </c>
      <c r="F17" s="2">
        <v>6.4109999999999996</v>
      </c>
      <c r="G17" s="5">
        <v>4</v>
      </c>
      <c r="H17" s="8">
        <v>1.6027499999999999</v>
      </c>
    </row>
    <row r="18" spans="1:8" x14ac:dyDescent="0.3">
      <c r="A18">
        <f t="shared" si="0"/>
        <v>17</v>
      </c>
      <c r="B18" s="2">
        <v>7.9119999999999999</v>
      </c>
      <c r="C18" s="5">
        <v>5</v>
      </c>
      <c r="D18" s="8">
        <v>1.5824</v>
      </c>
      <c r="E18">
        <f t="shared" si="1"/>
        <v>48</v>
      </c>
      <c r="F18" s="2">
        <v>66.736000000000004</v>
      </c>
      <c r="G18" s="5">
        <v>42</v>
      </c>
      <c r="H18" s="8">
        <v>1.5889523809523811</v>
      </c>
    </row>
    <row r="19" spans="1:8" x14ac:dyDescent="0.3">
      <c r="A19">
        <f t="shared" si="0"/>
        <v>18</v>
      </c>
      <c r="B19" s="2">
        <v>4.8049999999999997</v>
      </c>
      <c r="C19" s="5">
        <v>3</v>
      </c>
      <c r="D19" s="8">
        <v>1.6016666666666666</v>
      </c>
      <c r="E19">
        <f t="shared" si="1"/>
        <v>49</v>
      </c>
      <c r="F19" s="2">
        <v>17.471</v>
      </c>
      <c r="G19" s="5">
        <v>11</v>
      </c>
      <c r="H19" s="8">
        <v>1.5882727272727273</v>
      </c>
    </row>
    <row r="20" spans="1:8" x14ac:dyDescent="0.3">
      <c r="A20">
        <f t="shared" si="0"/>
        <v>19</v>
      </c>
      <c r="B20" s="2">
        <v>4.8280000000000003</v>
      </c>
      <c r="C20" s="5">
        <v>3</v>
      </c>
      <c r="D20" s="8">
        <v>1.6093333333333335</v>
      </c>
      <c r="E20">
        <f t="shared" si="1"/>
        <v>50</v>
      </c>
      <c r="F20" s="2">
        <v>24.004000000000001</v>
      </c>
      <c r="G20" s="5">
        <v>15</v>
      </c>
      <c r="H20" s="8">
        <v>1.6002666666666667</v>
      </c>
    </row>
    <row r="21" spans="1:8" x14ac:dyDescent="0.3">
      <c r="A21">
        <f t="shared" si="0"/>
        <v>20</v>
      </c>
      <c r="B21" s="2">
        <v>14.419</v>
      </c>
      <c r="C21" s="5">
        <v>9</v>
      </c>
      <c r="D21" s="8">
        <v>1.6021111111111113</v>
      </c>
      <c r="E21">
        <f t="shared" si="1"/>
        <v>51</v>
      </c>
      <c r="F21" s="2">
        <v>21.032</v>
      </c>
      <c r="G21" s="5">
        <v>13</v>
      </c>
      <c r="H21" s="8">
        <v>1.6178461538461539</v>
      </c>
    </row>
    <row r="22" spans="1:8" x14ac:dyDescent="0.3">
      <c r="A22">
        <f t="shared" si="0"/>
        <v>21</v>
      </c>
      <c r="B22" s="2">
        <v>3.1680000000000001</v>
      </c>
      <c r="C22" s="5">
        <v>2</v>
      </c>
      <c r="D22" s="8">
        <v>1.5840000000000001</v>
      </c>
      <c r="E22">
        <f t="shared" si="1"/>
        <v>52</v>
      </c>
      <c r="F22" s="2">
        <v>48.47</v>
      </c>
      <c r="G22" s="5">
        <v>30</v>
      </c>
      <c r="H22" s="8">
        <v>1.6156666666666666</v>
      </c>
    </row>
    <row r="23" spans="1:8" x14ac:dyDescent="0.3">
      <c r="A23">
        <f t="shared" si="0"/>
        <v>22</v>
      </c>
      <c r="B23" s="2">
        <v>32.499000000000002</v>
      </c>
      <c r="C23" s="5">
        <v>20</v>
      </c>
      <c r="D23" s="8">
        <v>1.6249500000000001</v>
      </c>
      <c r="E23">
        <f t="shared" si="1"/>
        <v>53</v>
      </c>
      <c r="F23" s="2">
        <v>1.62</v>
      </c>
      <c r="G23" s="5">
        <v>1</v>
      </c>
      <c r="H23" s="8">
        <v>1.62</v>
      </c>
    </row>
    <row r="24" spans="1:8" x14ac:dyDescent="0.3">
      <c r="A24">
        <f t="shared" si="0"/>
        <v>23</v>
      </c>
      <c r="B24" s="2">
        <v>12.734</v>
      </c>
      <c r="C24" s="5">
        <v>8</v>
      </c>
      <c r="D24" s="8">
        <v>1.59175</v>
      </c>
      <c r="E24">
        <f t="shared" si="1"/>
        <v>54</v>
      </c>
      <c r="F24" s="2">
        <v>1.5980000000000001</v>
      </c>
      <c r="G24" s="5">
        <v>1</v>
      </c>
      <c r="H24" s="8">
        <v>1.5980000000000001</v>
      </c>
    </row>
    <row r="25" spans="1:8" x14ac:dyDescent="0.3">
      <c r="A25">
        <f t="shared" si="0"/>
        <v>24</v>
      </c>
      <c r="B25" s="2">
        <v>9.6300000000000008</v>
      </c>
      <c r="C25" s="5">
        <v>6</v>
      </c>
      <c r="D25" s="8">
        <v>1.6050000000000002</v>
      </c>
      <c r="E25">
        <f t="shared" si="1"/>
        <v>55</v>
      </c>
      <c r="F25" s="2">
        <v>6.3369999999999997</v>
      </c>
      <c r="G25" s="5">
        <v>4</v>
      </c>
      <c r="H25" s="8">
        <v>1.5842499999999999</v>
      </c>
    </row>
    <row r="26" spans="1:8" x14ac:dyDescent="0.3">
      <c r="A26">
        <f t="shared" si="0"/>
        <v>25</v>
      </c>
      <c r="B26" s="2">
        <v>20.802</v>
      </c>
      <c r="C26" s="5">
        <v>13</v>
      </c>
      <c r="D26" s="8">
        <v>1.600153846153846</v>
      </c>
      <c r="E26">
        <f t="shared" si="1"/>
        <v>56</v>
      </c>
      <c r="F26" s="2">
        <v>20.65</v>
      </c>
      <c r="G26" s="5">
        <v>13</v>
      </c>
      <c r="H26" s="8">
        <v>1.5884615384615384</v>
      </c>
    </row>
    <row r="27" spans="1:8" x14ac:dyDescent="0.3">
      <c r="A27">
        <f t="shared" si="0"/>
        <v>26</v>
      </c>
      <c r="B27" s="2">
        <v>32.188000000000002</v>
      </c>
      <c r="C27" s="5">
        <v>20</v>
      </c>
      <c r="D27" s="8">
        <v>1.6094000000000002</v>
      </c>
      <c r="E27">
        <f t="shared" si="1"/>
        <v>57</v>
      </c>
      <c r="F27" s="2">
        <v>6.4610000000000003</v>
      </c>
      <c r="G27" s="5">
        <v>4</v>
      </c>
      <c r="H27" s="8">
        <v>1.6152500000000001</v>
      </c>
    </row>
    <row r="28" spans="1:8" x14ac:dyDescent="0.3">
      <c r="A28">
        <f t="shared" si="0"/>
        <v>27</v>
      </c>
      <c r="B28" s="2">
        <v>17.687000000000001</v>
      </c>
      <c r="C28" s="5">
        <v>11</v>
      </c>
      <c r="D28" s="8">
        <v>1.607909090909091</v>
      </c>
      <c r="E28">
        <f t="shared" si="1"/>
        <v>58</v>
      </c>
      <c r="F28" s="2">
        <v>24.009</v>
      </c>
      <c r="G28" s="5">
        <v>15</v>
      </c>
      <c r="H28" s="8">
        <v>1.6006</v>
      </c>
    </row>
    <row r="29" spans="1:8" x14ac:dyDescent="0.3">
      <c r="A29">
        <f t="shared" si="0"/>
        <v>28</v>
      </c>
      <c r="B29" s="2">
        <v>18.968</v>
      </c>
      <c r="C29" s="5">
        <v>12</v>
      </c>
      <c r="D29" s="8">
        <v>1.5806666666666667</v>
      </c>
      <c r="E29">
        <f t="shared" si="1"/>
        <v>59</v>
      </c>
      <c r="F29" s="2">
        <v>4.7709999999999999</v>
      </c>
      <c r="G29" s="5">
        <v>3</v>
      </c>
      <c r="H29" s="8">
        <v>1.5903333333333334</v>
      </c>
    </row>
    <row r="30" spans="1:8" x14ac:dyDescent="0.3">
      <c r="A30">
        <f t="shared" si="0"/>
        <v>29</v>
      </c>
      <c r="B30" s="2">
        <v>1.6180000000000001</v>
      </c>
      <c r="C30" s="5">
        <v>1</v>
      </c>
      <c r="D30" s="8">
        <v>1.6180000000000001</v>
      </c>
      <c r="E30">
        <f t="shared" si="1"/>
        <v>60</v>
      </c>
      <c r="F30" s="2">
        <v>11.201000000000001</v>
      </c>
      <c r="G30" s="5">
        <v>7</v>
      </c>
      <c r="H30" s="8">
        <v>1.6001428571428573</v>
      </c>
    </row>
    <row r="31" spans="1:8" x14ac:dyDescent="0.3">
      <c r="A31">
        <f t="shared" si="0"/>
        <v>30</v>
      </c>
      <c r="B31" s="2">
        <v>17.472999999999999</v>
      </c>
      <c r="C31" s="5">
        <v>11</v>
      </c>
      <c r="D31" s="8">
        <v>1.5884545454545453</v>
      </c>
      <c r="E31">
        <f t="shared" si="1"/>
        <v>61</v>
      </c>
      <c r="F31" s="2">
        <v>21.001000000000001</v>
      </c>
      <c r="G31" s="5">
        <v>13</v>
      </c>
      <c r="H31" s="8">
        <v>1.6154615384615385</v>
      </c>
    </row>
    <row r="32" spans="1:8" x14ac:dyDescent="0.3">
      <c r="A32">
        <f t="shared" si="0"/>
        <v>31</v>
      </c>
      <c r="B32" s="2">
        <v>3.242</v>
      </c>
      <c r="C32" s="5">
        <v>2</v>
      </c>
      <c r="D32" s="8">
        <v>1.621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Sheet3</vt:lpstr>
      <vt:lpstr>展示表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yangshuyun</dc:creator>
  <cp:lastModifiedBy>舒云 杨</cp:lastModifiedBy>
  <dcterms:created xsi:type="dcterms:W3CDTF">2015-06-05T18:19:34Z</dcterms:created>
  <dcterms:modified xsi:type="dcterms:W3CDTF">2023-10-22T12:45:09Z</dcterms:modified>
</cp:coreProperties>
</file>