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物理实验课程\基础物理实验I\LabX2 转动惯量和角动量守恒\"/>
    </mc:Choice>
  </mc:AlternateContent>
  <xr:revisionPtr revIDLastSave="0" documentId="13_ncr:1_{7E0B5D50-62EB-41A7-8D7F-28E26622F2F6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转动惯量理论值" sheetId="1" r:id="rId1"/>
    <sheet name="实验测定转动惯量" sheetId="2" r:id="rId2"/>
    <sheet name="验证角动量守恒" sheetId="3" r:id="rId3"/>
    <sheet name="误差分析" sheetId="5" r:id="rId4"/>
    <sheet name="尝试找到系统误差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6" l="1"/>
  <c r="D21" i="6"/>
  <c r="C21" i="6"/>
  <c r="B22" i="6"/>
  <c r="B21" i="6"/>
  <c r="B25" i="6"/>
  <c r="E25" i="6"/>
  <c r="C25" i="6"/>
  <c r="B19" i="6"/>
  <c r="F25" i="6" s="1"/>
  <c r="H45" i="6"/>
  <c r="G45" i="6"/>
  <c r="H44" i="6"/>
  <c r="G44" i="6"/>
  <c r="H43" i="6"/>
  <c r="G43" i="6"/>
  <c r="D42" i="6"/>
  <c r="C42" i="6"/>
  <c r="B42" i="6"/>
  <c r="F41" i="6"/>
  <c r="E41" i="6"/>
  <c r="C41" i="6"/>
  <c r="B41" i="6"/>
  <c r="H41" i="6" s="1"/>
  <c r="F39" i="6"/>
  <c r="E39" i="6"/>
  <c r="D39" i="6"/>
  <c r="C39" i="6"/>
  <c r="B39" i="6"/>
  <c r="F38" i="6"/>
  <c r="E38" i="6"/>
  <c r="D38" i="6"/>
  <c r="C38" i="6"/>
  <c r="B38" i="6"/>
  <c r="D37" i="6"/>
  <c r="C37" i="6"/>
  <c r="B37" i="6"/>
  <c r="H37" i="6" s="1"/>
  <c r="A2" i="6"/>
  <c r="H16" i="5"/>
  <c r="H17" i="5"/>
  <c r="H18" i="5"/>
  <c r="H19" i="5"/>
  <c r="H15" i="5"/>
  <c r="G16" i="5"/>
  <c r="G17" i="5"/>
  <c r="G18" i="5"/>
  <c r="G19" i="5"/>
  <c r="G15" i="5"/>
  <c r="F16" i="5"/>
  <c r="F17" i="5"/>
  <c r="F18" i="5"/>
  <c r="F19" i="5"/>
  <c r="F15" i="5"/>
  <c r="C16" i="5"/>
  <c r="B16" i="5"/>
  <c r="E11" i="5"/>
  <c r="D11" i="5"/>
  <c r="C11" i="5"/>
  <c r="B11" i="5"/>
  <c r="B19" i="2"/>
  <c r="B5" i="5"/>
  <c r="F11" i="5" s="1"/>
  <c r="C9" i="3"/>
  <c r="D9" i="3"/>
  <c r="E9" i="3"/>
  <c r="F9" i="3"/>
  <c r="B9" i="3"/>
  <c r="F8" i="3"/>
  <c r="F7" i="3"/>
  <c r="E8" i="3"/>
  <c r="E7" i="3"/>
  <c r="D8" i="3"/>
  <c r="D7" i="3"/>
  <c r="C8" i="3"/>
  <c r="C7" i="3"/>
  <c r="B8" i="3"/>
  <c r="B7" i="3"/>
  <c r="C6" i="3"/>
  <c r="D6" i="3"/>
  <c r="E6" i="3"/>
  <c r="F6" i="3"/>
  <c r="B6" i="3"/>
  <c r="C19" i="2"/>
  <c r="B20" i="2"/>
  <c r="D20" i="2"/>
  <c r="D18" i="2"/>
  <c r="D19" i="2"/>
  <c r="D16" i="2"/>
  <c r="C16" i="2"/>
  <c r="B18" i="2"/>
  <c r="B16" i="2"/>
  <c r="H6" i="2"/>
  <c r="H7" i="2"/>
  <c r="H8" i="2"/>
  <c r="H9" i="2"/>
  <c r="H10" i="2"/>
  <c r="G6" i="2"/>
  <c r="G7" i="2"/>
  <c r="G8" i="2"/>
  <c r="G9" i="2"/>
  <c r="G10" i="2"/>
  <c r="D7" i="2"/>
  <c r="C7" i="2"/>
  <c r="B7" i="2"/>
  <c r="F6" i="2"/>
  <c r="E6" i="2"/>
  <c r="C6" i="2"/>
  <c r="B6" i="2"/>
  <c r="H3" i="2"/>
  <c r="H4" i="2"/>
  <c r="H2" i="2"/>
  <c r="G3" i="2"/>
  <c r="G4" i="2"/>
  <c r="B3" i="2"/>
  <c r="C3" i="2"/>
  <c r="D3" i="2"/>
  <c r="E3" i="2"/>
  <c r="F3" i="2"/>
  <c r="B4" i="2"/>
  <c r="C4" i="2"/>
  <c r="D4" i="2"/>
  <c r="E4" i="2"/>
  <c r="F4" i="2"/>
  <c r="G2" i="2"/>
  <c r="D2" i="2"/>
  <c r="C2" i="2"/>
  <c r="B2" i="2"/>
  <c r="B14" i="1"/>
  <c r="B13" i="1"/>
  <c r="B12" i="1"/>
  <c r="H3" i="1"/>
  <c r="H4" i="1"/>
  <c r="H5" i="1"/>
  <c r="H6" i="1"/>
  <c r="H2" i="1"/>
  <c r="G3" i="1"/>
  <c r="G4" i="1"/>
  <c r="G5" i="1"/>
  <c r="G6" i="1"/>
  <c r="G2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D25" i="6" l="1"/>
  <c r="H39" i="6"/>
  <c r="G42" i="6"/>
  <c r="G38" i="6"/>
  <c r="H42" i="6"/>
  <c r="G39" i="6"/>
  <c r="H38" i="6"/>
  <c r="G37" i="6"/>
  <c r="G41" i="6"/>
  <c r="B51" i="6" l="1"/>
  <c r="D53" i="6"/>
  <c r="D55" i="6" s="1"/>
  <c r="D51" i="6"/>
  <c r="D54" i="6" s="1"/>
  <c r="C51" i="6"/>
  <c r="B53" i="6"/>
  <c r="B55" i="6" s="1"/>
  <c r="B54" i="6"/>
  <c r="C54" i="6"/>
</calcChain>
</file>

<file path=xl/sharedStrings.xml><?xml version="1.0" encoding="utf-8"?>
<sst xmlns="http://schemas.openxmlformats.org/spreadsheetml/2006/main" count="139" uniqueCount="68">
  <si>
    <t>测量序号</t>
    <phoneticPr fontId="1" type="noConversion"/>
  </si>
  <si>
    <t>$M_D/g$</t>
    <phoneticPr fontId="1" type="noConversion"/>
  </si>
  <si>
    <t>$M_R/g$</t>
    <phoneticPr fontId="1" type="noConversion"/>
  </si>
  <si>
    <t>$R_D/mm$</t>
    <phoneticPr fontId="1" type="noConversion"/>
  </si>
  <si>
    <t>$R_i/mm$</t>
    <phoneticPr fontId="1" type="noConversion"/>
  </si>
  <si>
    <t>$R_o/mm$</t>
    <phoneticPr fontId="1" type="noConversion"/>
  </si>
  <si>
    <t>均值</t>
    <phoneticPr fontId="1" type="noConversion"/>
  </si>
  <si>
    <t>实验标准差</t>
    <phoneticPr fontId="1" type="noConversion"/>
  </si>
  <si>
    <t>计算</t>
    <phoneticPr fontId="1" type="noConversion"/>
  </si>
  <si>
    <t>$I_D/kg*m^2$</t>
    <phoneticPr fontId="1" type="noConversion"/>
  </si>
  <si>
    <t>$I_{VD}/kg*m^2$</t>
    <phoneticPr fontId="1" type="noConversion"/>
  </si>
  <si>
    <t>$I_R/kg*m^2$</t>
    <phoneticPr fontId="1" type="noConversion"/>
  </si>
  <si>
    <t>$r_s/mm$</t>
    <phoneticPr fontId="1" type="noConversion"/>
  </si>
  <si>
    <t>$r_{t1}/mm$</t>
    <phoneticPr fontId="1" type="noConversion"/>
  </si>
  <si>
    <t>$r_{t2}/mm$</t>
    <phoneticPr fontId="1" type="noConversion"/>
  </si>
  <si>
    <t>$a_{sD1}/m*s^{-2}$</t>
    <phoneticPr fontId="1" type="noConversion"/>
  </si>
  <si>
    <t>$a_{sD2}/m*s^{-2}$</t>
    <phoneticPr fontId="1" type="noConversion"/>
  </si>
  <si>
    <t>$a_{sDR1}/m*s^{-2}$</t>
    <phoneticPr fontId="1" type="noConversion"/>
  </si>
  <si>
    <t>$a_{sDR2}/m*s^{-2}$</t>
    <phoneticPr fontId="1" type="noConversion"/>
  </si>
  <si>
    <t>$a_{sVD}/m*s^{-2}$</t>
    <phoneticPr fontId="1" type="noConversion"/>
  </si>
  <si>
    <t>Friction Mass/g</t>
    <phoneticPr fontId="1" type="noConversion"/>
  </si>
  <si>
    <t>Disk Alone</t>
    <phoneticPr fontId="1" type="noConversion"/>
  </si>
  <si>
    <t>Vertical Disk</t>
    <phoneticPr fontId="1" type="noConversion"/>
  </si>
  <si>
    <t>Disk and Ring</t>
    <phoneticPr fontId="1" type="noConversion"/>
  </si>
  <si>
    <t>Hanging Mass1/g</t>
    <phoneticPr fontId="1" type="noConversion"/>
  </si>
  <si>
    <t>Acceleration1$//m*s^{-2}$</t>
    <phoneticPr fontId="1" type="noConversion"/>
  </si>
  <si>
    <t>Hanging Mass2/g</t>
    <phoneticPr fontId="1" type="noConversion"/>
  </si>
  <si>
    <t>Acceleration2$//m*s^{-2}$</t>
    <phoneticPr fontId="1" type="noConversion"/>
  </si>
  <si>
    <t>Rotation Inertia$/kg*m^2$</t>
    <phoneticPr fontId="1" type="noConversion"/>
  </si>
  <si>
    <t>Disk Angular Speed$/rad*s^{-1}$</t>
    <phoneticPr fontId="1" type="noConversion"/>
  </si>
  <si>
    <t>T otal Angular Speed$/rad*s^{-1}$</t>
    <phoneticPr fontId="1" type="noConversion"/>
  </si>
  <si>
    <t>$I_D/kg*m^2$</t>
  </si>
  <si>
    <t>$I_{VD}/kg*m^2$</t>
  </si>
  <si>
    <t>$I_R/kg*m^2$</t>
  </si>
  <si>
    <t>$I_R+I_D/kg*m^2$</t>
    <phoneticPr fontId="1" type="noConversion"/>
  </si>
  <si>
    <t>$I_D*\omega_D$</t>
    <phoneticPr fontId="1" type="noConversion"/>
  </si>
  <si>
    <t>$I_{total}*\omega_{total}$</t>
    <phoneticPr fontId="1" type="noConversion"/>
  </si>
  <si>
    <t>Relative Difference</t>
    <phoneticPr fontId="1" type="noConversion"/>
  </si>
  <si>
    <t>Disk Alone</t>
  </si>
  <si>
    <t>Vertical Disk</t>
  </si>
  <si>
    <t>Disk and Ring</t>
  </si>
  <si>
    <t>Rotation Inertia$/kg*m^2$</t>
  </si>
  <si>
    <t>相对误差</t>
    <phoneticPr fontId="1" type="noConversion"/>
  </si>
  <si>
    <t>\eta</t>
    <phoneticPr fontId="1" type="noConversion"/>
  </si>
  <si>
    <t>Disk Alone Rotation Inertia1</t>
    <phoneticPr fontId="1" type="noConversion"/>
  </si>
  <si>
    <t>Vertical Disk Rotation Inertia2</t>
    <phoneticPr fontId="1" type="noConversion"/>
  </si>
  <si>
    <t>Disk and Ring Rotation Inertia1</t>
    <phoneticPr fontId="1" type="noConversion"/>
  </si>
  <si>
    <t>Disk Alone Rotation Inertia2</t>
    <phoneticPr fontId="1" type="noConversion"/>
  </si>
  <si>
    <t>Disk and Ring Rotation Inertia2</t>
    <phoneticPr fontId="1" type="noConversion"/>
  </si>
  <si>
    <t>Total</t>
    <phoneticPr fontId="1" type="noConversion"/>
  </si>
  <si>
    <t>实验值</t>
    <phoneticPr fontId="1" type="noConversion"/>
  </si>
  <si>
    <t>理论值</t>
    <phoneticPr fontId="1" type="noConversion"/>
  </si>
  <si>
    <t>展伸不确定度</t>
    <phoneticPr fontId="1" type="noConversion"/>
  </si>
  <si>
    <t>最佳估计值之差</t>
    <phoneticPr fontId="1" type="noConversion"/>
  </si>
  <si>
    <t>两倍合成展伸不确定度</t>
    <phoneticPr fontId="1" type="noConversion"/>
  </si>
  <si>
    <t>$I_{DR}/10^{-9}kg*m^2$</t>
    <phoneticPr fontId="1" type="noConversion"/>
  </si>
  <si>
    <t>$I_D/10^{-9}kg*m^2$</t>
    <phoneticPr fontId="1" type="noConversion"/>
  </si>
  <si>
    <t>$I_{VD}/10^{-9}kg*m^2$</t>
    <phoneticPr fontId="1" type="noConversion"/>
  </si>
  <si>
    <t>是否有系统误差</t>
    <phoneticPr fontId="1" type="noConversion"/>
  </si>
  <si>
    <t>判定系统误差（if&gt;0, True)</t>
    <phoneticPr fontId="1" type="noConversion"/>
  </si>
  <si>
    <t>是</t>
    <phoneticPr fontId="1" type="noConversion"/>
  </si>
  <si>
    <t>传感器大环直径/mm</t>
    <phoneticPr fontId="1" type="noConversion"/>
  </si>
  <si>
    <t>计算</t>
  </si>
  <si>
    <t>Friction Mass/g</t>
  </si>
  <si>
    <t>Hanging Mass1/g</t>
  </si>
  <si>
    <t>Acceleration1$//m*s^{-2}$</t>
  </si>
  <si>
    <t>Hanging Mass2/g</t>
  </si>
  <si>
    <t>Acceleration2$//m*s^{-2}$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</si>
</sst>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00"/>
    <numFmt numFmtId="178" formatCode="0.0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176" fontId="0" fillId="0" borderId="0" xfId="0" applyNumberFormat="1"/>
    <xf numFmtId="2" fontId="0" fillId="0" borderId="0" xfId="0" applyNumberFormat="1"/>
    <xf numFmtId="177" fontId="0" fillId="0" borderId="0" xfId="0" applyNumberFormat="1"/>
    <xf numFmtId="178" fontId="0" fillId="0" borderId="0" xfId="0" applyNumberFormat="1"/>
    <xf numFmtId="9" fontId="0" fillId="0" borderId="0" xfId="1" applyFont="1" applyAlignment="1"/>
    <xf numFmtId="11" fontId="0" fillId="0" borderId="0" xfId="0" applyNumberFormat="1"/>
    <xf numFmtId="10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activeCell="C21" sqref="C21"/>
    </sheetView>
  </sheetViews>
  <sheetFormatPr defaultRowHeight="14" x14ac:dyDescent="0.3"/>
  <sheetData>
    <row r="1" spans="1:8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 t="s">
        <v>6</v>
      </c>
      <c r="H1" t="s">
        <v>7</v>
      </c>
    </row>
    <row r="2" spans="1:8" x14ac:dyDescent="0.3">
      <c r="A2" t="s">
        <v>1</v>
      </c>
      <c r="B2" s="2">
        <v>1394.31</v>
      </c>
      <c r="C2" s="2">
        <v>1394.31</v>
      </c>
      <c r="D2" s="2">
        <v>1394.32</v>
      </c>
      <c r="E2" s="2">
        <v>1394.32</v>
      </c>
      <c r="F2" s="2">
        <v>1394.33</v>
      </c>
      <c r="G2" s="2">
        <f>AVERAGE(B2:F2)</f>
        <v>1394.3179999999998</v>
      </c>
      <c r="H2" s="4">
        <f>_xlfn.STDEV.P(B2:F2)/2</f>
        <v>3.7416573867705386E-3</v>
      </c>
    </row>
    <row r="3" spans="1:8" x14ac:dyDescent="0.3">
      <c r="A3" t="s">
        <v>2</v>
      </c>
      <c r="B3" s="2">
        <v>1431</v>
      </c>
      <c r="C3" s="2">
        <v>1431</v>
      </c>
      <c r="D3" s="2">
        <v>1431.02</v>
      </c>
      <c r="E3" s="2">
        <v>1431.01</v>
      </c>
      <c r="F3" s="2">
        <v>1431.01</v>
      </c>
      <c r="G3" s="2">
        <f t="shared" ref="G3:G6" si="0">AVERAGE(B3:F3)</f>
        <v>1431.0080000000003</v>
      </c>
      <c r="H3" s="4">
        <f t="shared" ref="H3:H6" si="1">_xlfn.STDEV.P(B3:F3)/2</f>
        <v>3.7416573867705381E-3</v>
      </c>
    </row>
    <row r="4" spans="1:8" x14ac:dyDescent="0.3">
      <c r="A4" t="s">
        <v>3</v>
      </c>
      <c r="B4" s="1">
        <f>228/2</f>
        <v>114</v>
      </c>
      <c r="C4" s="1">
        <f>228.5/2</f>
        <v>114.25</v>
      </c>
      <c r="D4" s="1">
        <f>228.7/2</f>
        <v>114.35</v>
      </c>
      <c r="E4" s="1">
        <f>228.9/2</f>
        <v>114.45</v>
      </c>
      <c r="F4" s="1">
        <f>228.3/2</f>
        <v>114.15</v>
      </c>
      <c r="G4" s="1">
        <f t="shared" si="0"/>
        <v>114.24000000000001</v>
      </c>
      <c r="H4" s="4">
        <f t="shared" si="1"/>
        <v>7.8102496759066192E-2</v>
      </c>
    </row>
    <row r="5" spans="1:8" x14ac:dyDescent="0.3">
      <c r="A5" t="s">
        <v>4</v>
      </c>
      <c r="B5" s="2">
        <f>106.88/2</f>
        <v>53.44</v>
      </c>
      <c r="C5" s="2">
        <f>106.86/2</f>
        <v>53.43</v>
      </c>
      <c r="D5" s="2">
        <f>107/2</f>
        <v>53.5</v>
      </c>
      <c r="E5" s="2">
        <f>106.98/2</f>
        <v>53.49</v>
      </c>
      <c r="F5" s="2">
        <f>106.94/2</f>
        <v>53.47</v>
      </c>
      <c r="G5" s="2">
        <f t="shared" si="0"/>
        <v>53.466000000000008</v>
      </c>
      <c r="H5" s="4">
        <f t="shared" si="1"/>
        <v>1.3638181696986268E-2</v>
      </c>
    </row>
    <row r="6" spans="1:8" x14ac:dyDescent="0.3">
      <c r="A6" t="s">
        <v>5</v>
      </c>
      <c r="B6" s="2">
        <f>127.4/2</f>
        <v>63.7</v>
      </c>
      <c r="C6" s="2">
        <f>127.14/2</f>
        <v>63.57</v>
      </c>
      <c r="D6" s="2">
        <f>127.76/2</f>
        <v>63.88</v>
      </c>
      <c r="E6" s="2">
        <f>127.56/2</f>
        <v>63.78</v>
      </c>
      <c r="F6" s="2">
        <f>127.66/2</f>
        <v>63.83</v>
      </c>
      <c r="G6" s="2">
        <f t="shared" si="0"/>
        <v>63.751999999999995</v>
      </c>
      <c r="H6" s="4">
        <f t="shared" si="1"/>
        <v>5.4350712966804791E-2</v>
      </c>
    </row>
    <row r="11" spans="1:8" x14ac:dyDescent="0.3">
      <c r="A11" t="s">
        <v>8</v>
      </c>
    </row>
    <row r="12" spans="1:8" x14ac:dyDescent="0.3">
      <c r="A12" t="s">
        <v>9</v>
      </c>
      <c r="B12">
        <f>G2*G4*G4/2000000000</f>
        <v>9.098467060838401E-3</v>
      </c>
    </row>
    <row r="13" spans="1:8" x14ac:dyDescent="0.3">
      <c r="A13" t="s">
        <v>10</v>
      </c>
      <c r="B13">
        <f>G2*G4*G4/4000000000</f>
        <v>4.5492335304192005E-3</v>
      </c>
    </row>
    <row r="14" spans="1:8" x14ac:dyDescent="0.3">
      <c r="A14" t="s">
        <v>11</v>
      </c>
      <c r="B14">
        <f>G3*(G5*G5+G6*G6)/2000000000</f>
        <v>4.9533845789526409E-3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50D2F-5642-4401-8588-6EAFD4AE55A6}">
  <dimension ref="A1:H20"/>
  <sheetViews>
    <sheetView workbookViewId="0">
      <selection sqref="A1:H20"/>
    </sheetView>
  </sheetViews>
  <sheetFormatPr defaultRowHeight="14" x14ac:dyDescent="0.3"/>
  <cols>
    <col min="2" max="2" width="11.25" bestFit="1" customWidth="1"/>
    <col min="9" max="9" width="11.25" bestFit="1" customWidth="1"/>
  </cols>
  <sheetData>
    <row r="1" spans="1:8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 t="s">
        <v>6</v>
      </c>
      <c r="H1" t="s">
        <v>7</v>
      </c>
    </row>
    <row r="2" spans="1:8" x14ac:dyDescent="0.3">
      <c r="A2" t="s">
        <v>12</v>
      </c>
      <c r="B2" s="2">
        <f>30.76/2</f>
        <v>15.38</v>
      </c>
      <c r="C2" s="2">
        <f>30.6/2</f>
        <v>15.3</v>
      </c>
      <c r="D2" s="2">
        <f>30.1/2</f>
        <v>15.05</v>
      </c>
      <c r="E2" s="2">
        <v>15.5</v>
      </c>
      <c r="F2" s="2">
        <v>16</v>
      </c>
      <c r="G2" s="2">
        <f>AVERAGE(B2:F2)</f>
        <v>15.446000000000002</v>
      </c>
      <c r="H2" s="2">
        <f>_xlfn.STDEV.P(B2:F2)/2</f>
        <v>0.15689486925964136</v>
      </c>
    </row>
    <row r="3" spans="1:8" x14ac:dyDescent="0.3">
      <c r="A3" t="s">
        <v>13</v>
      </c>
      <c r="B3" s="2">
        <f>38.7/2</f>
        <v>19.350000000000001</v>
      </c>
      <c r="C3" s="2">
        <f>39/2</f>
        <v>19.5</v>
      </c>
      <c r="D3" s="2">
        <f>38.74/2</f>
        <v>19.37</v>
      </c>
      <c r="E3" s="2">
        <f>38.81/2</f>
        <v>19.405000000000001</v>
      </c>
      <c r="F3" s="2">
        <f>38.78/2</f>
        <v>19.39</v>
      </c>
      <c r="G3" s="2">
        <f t="shared" ref="G3:G10" si="0">AVERAGE(B3:F3)</f>
        <v>19.402999999999999</v>
      </c>
      <c r="H3" s="2">
        <f t="shared" ref="H3:H10" si="1">_xlfn.STDEV.P(B3:F3)/2</f>
        <v>2.5961509971494118E-2</v>
      </c>
    </row>
    <row r="4" spans="1:8" x14ac:dyDescent="0.3">
      <c r="A4" t="s">
        <v>14</v>
      </c>
      <c r="B4" s="2">
        <f>26/2</f>
        <v>13</v>
      </c>
      <c r="C4" s="2">
        <f>25.98/2</f>
        <v>12.99</v>
      </c>
      <c r="D4" s="2">
        <f>25.8/2</f>
        <v>12.9</v>
      </c>
      <c r="E4" s="2">
        <f>25.92/2</f>
        <v>12.96</v>
      </c>
      <c r="F4" s="2">
        <f>25.88/2</f>
        <v>12.94</v>
      </c>
      <c r="G4" s="2">
        <f t="shared" si="0"/>
        <v>12.958000000000002</v>
      </c>
      <c r="H4" s="2">
        <f t="shared" si="1"/>
        <v>1.7999999999999988E-2</v>
      </c>
    </row>
    <row r="5" spans="1:8" x14ac:dyDescent="0.3">
      <c r="G5" s="2"/>
      <c r="H5" s="2"/>
    </row>
    <row r="6" spans="1:8" x14ac:dyDescent="0.3">
      <c r="A6" t="s">
        <v>15</v>
      </c>
      <c r="B6">
        <f>0.0804</f>
        <v>8.0399999999999999E-2</v>
      </c>
      <c r="C6">
        <f>0.0831</f>
        <v>8.3099999999999993E-2</v>
      </c>
      <c r="D6">
        <v>8.3699999999999997E-2</v>
      </c>
      <c r="E6">
        <f>0.084</f>
        <v>8.4000000000000005E-2</v>
      </c>
      <c r="F6">
        <f>0.0767</f>
        <v>7.6700000000000004E-2</v>
      </c>
      <c r="G6" s="4">
        <f t="shared" si="0"/>
        <v>8.158E-2</v>
      </c>
      <c r="H6" s="3">
        <f t="shared" si="1"/>
        <v>1.3760087209025958E-3</v>
      </c>
    </row>
    <row r="7" spans="1:8" x14ac:dyDescent="0.3">
      <c r="A7" t="s">
        <v>16</v>
      </c>
      <c r="B7">
        <f>0.02</f>
        <v>0.02</v>
      </c>
      <c r="C7">
        <f>0.0216</f>
        <v>2.1600000000000001E-2</v>
      </c>
      <c r="D7">
        <f>0.0214</f>
        <v>2.1399999999999999E-2</v>
      </c>
      <c r="E7">
        <v>2.1700000000000001E-2</v>
      </c>
      <c r="F7">
        <v>2.1499999999999998E-2</v>
      </c>
      <c r="G7" s="4">
        <f t="shared" si="0"/>
        <v>2.1239999999999998E-2</v>
      </c>
      <c r="H7" s="3">
        <f t="shared" si="1"/>
        <v>3.1400636936215157E-4</v>
      </c>
    </row>
    <row r="8" spans="1:8" x14ac:dyDescent="0.3">
      <c r="A8" t="s">
        <v>17</v>
      </c>
      <c r="B8">
        <v>1.4200000000000001E-2</v>
      </c>
      <c r="C8">
        <v>1.4999999999999999E-2</v>
      </c>
      <c r="D8">
        <v>1.4800000000000001E-2</v>
      </c>
      <c r="E8">
        <v>1.47E-2</v>
      </c>
      <c r="F8">
        <v>1.4200000000000001E-2</v>
      </c>
      <c r="G8" s="4">
        <f t="shared" si="0"/>
        <v>1.4579999999999999E-2</v>
      </c>
      <c r="H8" s="3">
        <f t="shared" si="1"/>
        <v>1.6248076809271899E-4</v>
      </c>
    </row>
    <row r="9" spans="1:8" x14ac:dyDescent="0.3">
      <c r="A9" t="s">
        <v>18</v>
      </c>
      <c r="B9">
        <v>5.7700000000000001E-2</v>
      </c>
      <c r="C9">
        <v>5.5599999999999997E-2</v>
      </c>
      <c r="D9">
        <v>5.6099999999999997E-2</v>
      </c>
      <c r="E9">
        <v>5.5500000000000001E-2</v>
      </c>
      <c r="F9">
        <v>5.8799999999999998E-2</v>
      </c>
      <c r="G9" s="4">
        <f t="shared" si="0"/>
        <v>5.6739999999999999E-2</v>
      </c>
      <c r="H9" s="3">
        <f t="shared" si="1"/>
        <v>6.485368146836386E-4</v>
      </c>
    </row>
    <row r="10" spans="1:8" x14ac:dyDescent="0.3">
      <c r="A10" t="s">
        <v>19</v>
      </c>
      <c r="B10">
        <v>4.1399999999999999E-2</v>
      </c>
      <c r="C10">
        <v>3.9800000000000002E-2</v>
      </c>
      <c r="D10">
        <v>3.95E-2</v>
      </c>
      <c r="E10">
        <v>4.0800000000000003E-2</v>
      </c>
      <c r="F10">
        <v>4.1700000000000001E-2</v>
      </c>
      <c r="G10" s="4">
        <f t="shared" si="0"/>
        <v>4.0639999999999996E-2</v>
      </c>
      <c r="H10" s="3">
        <f t="shared" si="1"/>
        <v>4.319722213291034E-4</v>
      </c>
    </row>
    <row r="13" spans="1:8" x14ac:dyDescent="0.3">
      <c r="A13" t="s">
        <v>8</v>
      </c>
      <c r="B13" t="s">
        <v>21</v>
      </c>
      <c r="C13" t="s">
        <v>22</v>
      </c>
      <c r="D13" t="s">
        <v>23</v>
      </c>
    </row>
    <row r="14" spans="1:8" x14ac:dyDescent="0.3">
      <c r="A14" t="s">
        <v>20</v>
      </c>
      <c r="B14">
        <v>4.5</v>
      </c>
      <c r="C14">
        <v>10.25</v>
      </c>
      <c r="D14">
        <v>9.75</v>
      </c>
    </row>
    <row r="15" spans="1:8" x14ac:dyDescent="0.3">
      <c r="A15" t="s">
        <v>24</v>
      </c>
      <c r="B15">
        <v>200</v>
      </c>
      <c r="C15">
        <v>50</v>
      </c>
      <c r="D15">
        <v>50</v>
      </c>
    </row>
    <row r="16" spans="1:8" x14ac:dyDescent="0.3">
      <c r="A16" t="s">
        <v>25</v>
      </c>
      <c r="B16">
        <f>G6*G4/G3</f>
        <v>5.4481968767716341E-2</v>
      </c>
      <c r="C16">
        <f>G10*G4/G3</f>
        <v>2.7140809153223734E-2</v>
      </c>
      <c r="D16">
        <f>G8*G4/G3</f>
        <v>9.7370324176673725E-3</v>
      </c>
    </row>
    <row r="17" spans="1:4" x14ac:dyDescent="0.3">
      <c r="A17" t="s">
        <v>26</v>
      </c>
      <c r="B17">
        <v>50</v>
      </c>
      <c r="D17">
        <v>200</v>
      </c>
    </row>
    <row r="18" spans="1:4" x14ac:dyDescent="0.3">
      <c r="A18" t="s">
        <v>27</v>
      </c>
      <c r="B18">
        <f>G7*G4/G3</f>
        <v>1.4184812657836419E-2</v>
      </c>
      <c r="D18">
        <f>G9*G4/G3</f>
        <v>3.789295057465341E-2</v>
      </c>
    </row>
    <row r="19" spans="1:4" x14ac:dyDescent="0.3">
      <c r="A19" t="s">
        <v>28</v>
      </c>
      <c r="B19">
        <f>B15*G4*G4*((9.8/B16)-1)/1000000000</f>
        <v>6.0070062433265027E-3</v>
      </c>
      <c r="C19">
        <f>C15*G4*G4*((9.8/C16)-1)/1000000000</f>
        <v>3.0230463489062994E-3</v>
      </c>
      <c r="D19">
        <f>D15*G4*G4*((9.8/D16)-1)/1000000000</f>
        <v>8.4413847765462281E-3</v>
      </c>
    </row>
    <row r="20" spans="1:4" x14ac:dyDescent="0.3">
      <c r="A20" t="s">
        <v>28</v>
      </c>
      <c r="B20">
        <f>B17*G4*G4*((9.8/B18)-1)/1000000000</f>
        <v>5.7918774053969876E-3</v>
      </c>
      <c r="D20">
        <f>D17*G4*G4*((9.8/D18)-1)/1000000000</f>
        <v>8.6514935678203737E-3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27218-EC9C-4552-8503-F72EA7284467}">
  <dimension ref="A1:F9"/>
  <sheetViews>
    <sheetView workbookViewId="0">
      <selection activeCell="G26" sqref="G26"/>
    </sheetView>
  </sheetViews>
  <sheetFormatPr defaultRowHeight="14" x14ac:dyDescent="0.3"/>
  <sheetData>
    <row r="1" spans="1:6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3">
      <c r="A2" t="s">
        <v>29</v>
      </c>
      <c r="B2">
        <v>12.849</v>
      </c>
      <c r="C2">
        <v>13.268000000000001</v>
      </c>
      <c r="D2">
        <v>12.827999999999999</v>
      </c>
      <c r="E2">
        <v>18.253</v>
      </c>
      <c r="F2">
        <v>20.597999999999999</v>
      </c>
    </row>
    <row r="3" spans="1:6" x14ac:dyDescent="0.3">
      <c r="A3" t="s">
        <v>30</v>
      </c>
      <c r="B3">
        <v>3.8959999999999999</v>
      </c>
      <c r="C3">
        <v>7.09</v>
      </c>
      <c r="D3">
        <v>7.016</v>
      </c>
      <c r="E3">
        <v>9.6760000000000002</v>
      </c>
      <c r="F3">
        <v>12.179</v>
      </c>
    </row>
    <row r="4" spans="1:6" x14ac:dyDescent="0.3">
      <c r="A4" t="s">
        <v>31</v>
      </c>
      <c r="B4">
        <v>9.098467060838401E-3</v>
      </c>
      <c r="C4">
        <v>9.098467060838401E-3</v>
      </c>
      <c r="D4">
        <v>9.098467060838401E-3</v>
      </c>
      <c r="E4">
        <v>9.098467060838401E-3</v>
      </c>
      <c r="F4">
        <v>9.098467060838401E-3</v>
      </c>
    </row>
    <row r="5" spans="1:6" x14ac:dyDescent="0.3">
      <c r="A5" t="s">
        <v>11</v>
      </c>
      <c r="B5">
        <v>4.9533845789526409E-3</v>
      </c>
      <c r="C5">
        <v>4.9533845789526409E-3</v>
      </c>
      <c r="D5">
        <v>4.9533845789526409E-3</v>
      </c>
      <c r="E5">
        <v>4.9533845789526409E-3</v>
      </c>
      <c r="F5">
        <v>4.9533845789526409E-3</v>
      </c>
    </row>
    <row r="6" spans="1:6" x14ac:dyDescent="0.3">
      <c r="A6" t="s">
        <v>34</v>
      </c>
      <c r="B6">
        <f>B4+B5</f>
        <v>1.4051851639791042E-2</v>
      </c>
      <c r="C6">
        <f t="shared" ref="C6:F6" si="0">C4+C5</f>
        <v>1.4051851639791042E-2</v>
      </c>
      <c r="D6">
        <f t="shared" si="0"/>
        <v>1.4051851639791042E-2</v>
      </c>
      <c r="E6">
        <f t="shared" si="0"/>
        <v>1.4051851639791042E-2</v>
      </c>
      <c r="F6">
        <f t="shared" si="0"/>
        <v>1.4051851639791042E-2</v>
      </c>
    </row>
    <row r="7" spans="1:6" x14ac:dyDescent="0.3">
      <c r="A7" t="s">
        <v>35</v>
      </c>
      <c r="B7">
        <f>B4*B2</f>
        <v>0.11690620326471261</v>
      </c>
      <c r="C7">
        <f>C2*C4</f>
        <v>0.12071846096320391</v>
      </c>
      <c r="D7">
        <f>D2*D4</f>
        <v>0.116715135456435</v>
      </c>
      <c r="E7">
        <f>E2*E4</f>
        <v>0.16607431926148333</v>
      </c>
      <c r="F7">
        <f>F2*F4</f>
        <v>0.18741022451914938</v>
      </c>
    </row>
    <row r="8" spans="1:6" x14ac:dyDescent="0.3">
      <c r="A8" t="s">
        <v>36</v>
      </c>
      <c r="B8">
        <f>B3*B6</f>
        <v>5.47460139886259E-2</v>
      </c>
      <c r="C8">
        <f>C3*C6</f>
        <v>9.9627628126118487E-2</v>
      </c>
      <c r="D8">
        <f>D3*D6</f>
        <v>9.8587791104773947E-2</v>
      </c>
      <c r="E8">
        <f>E3*E6</f>
        <v>0.13596571646661812</v>
      </c>
      <c r="F8">
        <f>F3*F6</f>
        <v>0.17113750112101511</v>
      </c>
    </row>
    <row r="9" spans="1:6" x14ac:dyDescent="0.3">
      <c r="A9" t="s">
        <v>37</v>
      </c>
      <c r="B9" s="5">
        <f>(B7-B8)/B7</f>
        <v>0.53170993104049735</v>
      </c>
      <c r="C9" s="5">
        <f t="shared" ref="C9:F9" si="1">(C7-C8)/C7</f>
        <v>0.17471091553688792</v>
      </c>
      <c r="D9" s="5">
        <f t="shared" si="1"/>
        <v>0.15531271313502651</v>
      </c>
      <c r="E9" s="5">
        <f t="shared" si="1"/>
        <v>0.18129595791062278</v>
      </c>
      <c r="F9" s="5">
        <f t="shared" si="1"/>
        <v>8.6829432278234822E-2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0F8D5-D2B6-45A6-B06C-30EF6217E507}">
  <dimension ref="A1:I19"/>
  <sheetViews>
    <sheetView workbookViewId="0">
      <selection sqref="A1:G11"/>
    </sheetView>
  </sheetViews>
  <sheetFormatPr defaultRowHeight="14" x14ac:dyDescent="0.3"/>
  <cols>
    <col min="2" max="2" width="12.75" bestFit="1" customWidth="1"/>
    <col min="3" max="3" width="9.58203125" bestFit="1" customWidth="1"/>
    <col min="4" max="4" width="10.6640625" bestFit="1" customWidth="1"/>
    <col min="5" max="5" width="9.58203125" bestFit="1" customWidth="1"/>
    <col min="6" max="6" width="11.1640625" bestFit="1" customWidth="1"/>
    <col min="8" max="8" width="11.1640625" bestFit="1" customWidth="1"/>
  </cols>
  <sheetData>
    <row r="1" spans="1:9" x14ac:dyDescent="0.3">
      <c r="A1" t="s">
        <v>51</v>
      </c>
    </row>
    <row r="2" spans="1:9" x14ac:dyDescent="0.3">
      <c r="A2" t="s">
        <v>31</v>
      </c>
      <c r="B2">
        <v>9.098467060838401E-3</v>
      </c>
    </row>
    <row r="3" spans="1:9" x14ac:dyDescent="0.3">
      <c r="A3" t="s">
        <v>32</v>
      </c>
      <c r="B3">
        <v>4.5492335304192005E-3</v>
      </c>
    </row>
    <row r="4" spans="1:9" x14ac:dyDescent="0.3">
      <c r="A4" t="s">
        <v>33</v>
      </c>
      <c r="B4">
        <v>4.9533845789526409E-3</v>
      </c>
    </row>
    <row r="5" spans="1:9" x14ac:dyDescent="0.3">
      <c r="A5" t="s">
        <v>49</v>
      </c>
      <c r="B5">
        <f>B2+B4</f>
        <v>1.4051851639791042E-2</v>
      </c>
    </row>
    <row r="6" spans="1:9" x14ac:dyDescent="0.3">
      <c r="A6" t="s">
        <v>50</v>
      </c>
      <c r="B6" t="s">
        <v>38</v>
      </c>
      <c r="C6" t="s">
        <v>39</v>
      </c>
      <c r="D6" t="s">
        <v>40</v>
      </c>
    </row>
    <row r="7" spans="1:9" x14ac:dyDescent="0.3">
      <c r="A7" t="s">
        <v>28</v>
      </c>
      <c r="B7">
        <v>6.0070062433265027E-3</v>
      </c>
      <c r="C7">
        <v>3.0230463489062994E-3</v>
      </c>
      <c r="D7">
        <v>8.4413847765462281E-3</v>
      </c>
    </row>
    <row r="8" spans="1:9" x14ac:dyDescent="0.3">
      <c r="A8" t="s">
        <v>41</v>
      </c>
      <c r="B8">
        <v>5.7918774053969876E-3</v>
      </c>
      <c r="D8">
        <v>8.6514935678203737E-3</v>
      </c>
    </row>
    <row r="10" spans="1:9" x14ac:dyDescent="0.3">
      <c r="A10" t="s">
        <v>42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9" x14ac:dyDescent="0.3">
      <c r="A11" t="s">
        <v>43</v>
      </c>
      <c r="B11" s="5">
        <f>(B7-B2)/B2</f>
        <v>-0.3397782062451109</v>
      </c>
      <c r="C11" s="5">
        <f>(C7-B3)/B3</f>
        <v>-0.33548226779473922</v>
      </c>
      <c r="D11" s="5">
        <f>(D7-B5)/B5</f>
        <v>-0.39926886556057067</v>
      </c>
      <c r="E11" s="5">
        <f>(B8-B2)/B2</f>
        <v>-0.36342272091895877</v>
      </c>
      <c r="F11" s="5">
        <f>(D8-B5)/B5</f>
        <v>-0.38431647375768724</v>
      </c>
    </row>
    <row r="14" spans="1:9" x14ac:dyDescent="0.3">
      <c r="B14" t="s">
        <v>51</v>
      </c>
      <c r="C14" t="s">
        <v>52</v>
      </c>
      <c r="D14" t="s">
        <v>50</v>
      </c>
      <c r="E14" t="s">
        <v>52</v>
      </c>
      <c r="F14" t="s">
        <v>53</v>
      </c>
      <c r="G14" t="s">
        <v>54</v>
      </c>
      <c r="H14" t="s">
        <v>59</v>
      </c>
      <c r="I14" t="s">
        <v>58</v>
      </c>
    </row>
    <row r="15" spans="1:9" x14ac:dyDescent="0.3">
      <c r="A15" t="s">
        <v>56</v>
      </c>
      <c r="B15" s="6">
        <v>9104839.6500000004</v>
      </c>
      <c r="C15" s="6">
        <v>229697.49</v>
      </c>
      <c r="D15" s="6">
        <v>6007317.5700000003</v>
      </c>
      <c r="E15" s="6">
        <v>662822.42000000004</v>
      </c>
      <c r="F15" s="6">
        <f>B15-D15</f>
        <v>3097522.08</v>
      </c>
      <c r="G15" s="6">
        <f>2*SQRT(C15*C15+E15*E15)</f>
        <v>1402988.9484482142</v>
      </c>
      <c r="H15" s="6">
        <f>F15-G15</f>
        <v>1694533.1315517859</v>
      </c>
      <c r="I15" t="s">
        <v>60</v>
      </c>
    </row>
    <row r="16" spans="1:9" x14ac:dyDescent="0.3">
      <c r="A16" t="s">
        <v>55</v>
      </c>
      <c r="B16" s="6">
        <f>4953384.58+B15</f>
        <v>14058224.23</v>
      </c>
      <c r="C16" s="6">
        <f>SQRT(34385.5^2+C15*C15)</f>
        <v>232256.96872763601</v>
      </c>
      <c r="D16" s="6">
        <v>8651941.1799999997</v>
      </c>
      <c r="E16" s="6">
        <v>633466.4</v>
      </c>
      <c r="F16" s="6">
        <f t="shared" ref="F16:F19" si="0">B16-D16</f>
        <v>5406283.0500000007</v>
      </c>
      <c r="G16" s="6">
        <f t="shared" ref="G16:G19" si="1">2*SQRT(C16*C16+E16*E16)</f>
        <v>1349404.2825654736</v>
      </c>
      <c r="H16" s="6">
        <f t="shared" ref="H16:H19" si="2">F16-G16</f>
        <v>4056878.7674345272</v>
      </c>
      <c r="I16" t="s">
        <v>60</v>
      </c>
    </row>
    <row r="17" spans="1:9" x14ac:dyDescent="0.3">
      <c r="A17" t="s">
        <v>56</v>
      </c>
      <c r="B17" s="6">
        <v>9104839.6500000004</v>
      </c>
      <c r="C17" s="6">
        <v>229697.49</v>
      </c>
      <c r="D17" s="6">
        <v>5792176.3399999999</v>
      </c>
      <c r="E17" s="6">
        <v>554928.51</v>
      </c>
      <c r="F17" s="6">
        <f t="shared" si="0"/>
        <v>3312663.3100000005</v>
      </c>
      <c r="G17" s="6">
        <f t="shared" si="1"/>
        <v>1201177.0695831988</v>
      </c>
      <c r="H17" s="6">
        <f t="shared" si="2"/>
        <v>2111486.2404168015</v>
      </c>
      <c r="I17" t="s">
        <v>60</v>
      </c>
    </row>
    <row r="18" spans="1:9" x14ac:dyDescent="0.3">
      <c r="A18" t="s">
        <v>55</v>
      </c>
      <c r="B18" s="6">
        <v>14058224.23</v>
      </c>
      <c r="C18" s="6">
        <v>232256.96872763601</v>
      </c>
      <c r="D18" s="6">
        <v>8441820.2599999998</v>
      </c>
      <c r="E18" s="6">
        <v>599700.18000000005</v>
      </c>
      <c r="F18" s="6">
        <f t="shared" si="0"/>
        <v>5616403.9700000007</v>
      </c>
      <c r="G18" s="6">
        <f t="shared" si="1"/>
        <v>1286209.3226447748</v>
      </c>
      <c r="H18" s="6">
        <f t="shared" si="2"/>
        <v>4330194.6473552259</v>
      </c>
      <c r="I18" t="s">
        <v>60</v>
      </c>
    </row>
    <row r="19" spans="1:9" x14ac:dyDescent="0.3">
      <c r="A19" t="s">
        <v>57</v>
      </c>
      <c r="B19" s="6">
        <v>4552419.83</v>
      </c>
      <c r="C19" s="6">
        <v>46631.03</v>
      </c>
      <c r="D19" s="6">
        <v>3023202.58</v>
      </c>
      <c r="E19" s="6">
        <v>204514.93</v>
      </c>
      <c r="F19" s="6">
        <f t="shared" si="0"/>
        <v>1529217.25</v>
      </c>
      <c r="G19" s="6">
        <f t="shared" si="1"/>
        <v>419527.39863692241</v>
      </c>
      <c r="H19" s="6">
        <f t="shared" si="2"/>
        <v>1109689.8513630775</v>
      </c>
      <c r="I19" t="s">
        <v>60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5C6C-FCE3-4B29-9163-39EAE79C70F4}">
  <dimension ref="A1:H55"/>
  <sheetViews>
    <sheetView tabSelected="1" workbookViewId="0">
      <selection activeCell="J30" sqref="J30"/>
    </sheetView>
  </sheetViews>
  <sheetFormatPr defaultRowHeight="14" x14ac:dyDescent="0.3"/>
  <sheetData>
    <row r="1" spans="1:5" x14ac:dyDescent="0.3">
      <c r="A1" t="s">
        <v>61</v>
      </c>
      <c r="B1" t="s">
        <v>12</v>
      </c>
      <c r="C1" t="s">
        <v>13</v>
      </c>
      <c r="D1" t="s">
        <v>14</v>
      </c>
    </row>
    <row r="2" spans="1:5" x14ac:dyDescent="0.3">
      <c r="A2">
        <f>50.344/2</f>
        <v>25.172000000000001</v>
      </c>
      <c r="B2">
        <v>15.446000000000002</v>
      </c>
      <c r="C2">
        <v>19.402999999999999</v>
      </c>
      <c r="D2">
        <v>12.958000000000002</v>
      </c>
    </row>
    <row r="3" spans="1:5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</row>
    <row r="4" spans="1:5" x14ac:dyDescent="0.3">
      <c r="A4">
        <v>8.158E-2</v>
      </c>
      <c r="B4">
        <v>2.1239999999999998E-2</v>
      </c>
      <c r="C4">
        <v>1.4579999999999999E-2</v>
      </c>
      <c r="D4">
        <v>5.6739999999999999E-2</v>
      </c>
      <c r="E4">
        <v>4.0639999999999996E-2</v>
      </c>
    </row>
    <row r="6" spans="1:5" x14ac:dyDescent="0.3">
      <c r="A6" t="s">
        <v>62</v>
      </c>
      <c r="B6" t="s">
        <v>38</v>
      </c>
      <c r="C6" t="s">
        <v>39</v>
      </c>
      <c r="D6" t="s">
        <v>40</v>
      </c>
    </row>
    <row r="7" spans="1:5" x14ac:dyDescent="0.3">
      <c r="A7" t="s">
        <v>63</v>
      </c>
      <c r="B7">
        <v>4.5</v>
      </c>
      <c r="C7">
        <v>10.25</v>
      </c>
      <c r="D7">
        <v>9.75</v>
      </c>
    </row>
    <row r="8" spans="1:5" x14ac:dyDescent="0.3">
      <c r="A8" t="s">
        <v>64</v>
      </c>
      <c r="B8">
        <v>200</v>
      </c>
      <c r="C8">
        <v>50</v>
      </c>
      <c r="D8">
        <v>50</v>
      </c>
    </row>
    <row r="9" spans="1:5" x14ac:dyDescent="0.3">
      <c r="A9" t="s">
        <v>65</v>
      </c>
      <c r="B9">
        <v>3.3431133385751891E-2</v>
      </c>
      <c r="C9">
        <v>1.6654097337545439E-2</v>
      </c>
      <c r="D9">
        <v>5.9748213381253072E-3</v>
      </c>
    </row>
    <row r="10" spans="1:5" x14ac:dyDescent="0.3">
      <c r="A10" t="s">
        <v>66</v>
      </c>
      <c r="B10">
        <v>50</v>
      </c>
      <c r="D10">
        <v>200</v>
      </c>
    </row>
    <row r="11" spans="1:5" x14ac:dyDescent="0.3">
      <c r="A11" t="s">
        <v>67</v>
      </c>
      <c r="B11">
        <v>8.70406071479983E-3</v>
      </c>
      <c r="D11">
        <v>2.3251808143019886E-2</v>
      </c>
    </row>
    <row r="12" spans="1:5" x14ac:dyDescent="0.3">
      <c r="A12" t="s">
        <v>41</v>
      </c>
      <c r="B12">
        <v>9.8106292392818543E-3</v>
      </c>
      <c r="C12">
        <v>4.9318773282987548E-3</v>
      </c>
      <c r="D12">
        <v>1.3762022019516696E-2</v>
      </c>
    </row>
    <row r="13" spans="1:5" x14ac:dyDescent="0.3">
      <c r="A13" t="s">
        <v>41</v>
      </c>
      <c r="B13">
        <v>9.4441792416733259E-3</v>
      </c>
      <c r="D13">
        <v>1.4120290959608135E-2</v>
      </c>
    </row>
    <row r="15" spans="1:5" x14ac:dyDescent="0.3">
      <c r="A15" t="s">
        <v>51</v>
      </c>
    </row>
    <row r="16" spans="1:5" x14ac:dyDescent="0.3">
      <c r="A16" t="s">
        <v>31</v>
      </c>
      <c r="B16">
        <v>9.098467060838401E-3</v>
      </c>
    </row>
    <row r="17" spans="1:6" x14ac:dyDescent="0.3">
      <c r="A17" t="s">
        <v>32</v>
      </c>
      <c r="B17">
        <v>4.5492335304192005E-3</v>
      </c>
    </row>
    <row r="18" spans="1:6" x14ac:dyDescent="0.3">
      <c r="A18" t="s">
        <v>33</v>
      </c>
      <c r="B18">
        <v>4.9533845789526409E-3</v>
      </c>
    </row>
    <row r="19" spans="1:6" x14ac:dyDescent="0.3">
      <c r="A19" t="s">
        <v>49</v>
      </c>
      <c r="B19">
        <f>B16+B18</f>
        <v>1.4051851639791042E-2</v>
      </c>
    </row>
    <row r="20" spans="1:6" x14ac:dyDescent="0.3">
      <c r="A20" t="s">
        <v>50</v>
      </c>
      <c r="B20" t="s">
        <v>38</v>
      </c>
      <c r="C20" t="s">
        <v>39</v>
      </c>
      <c r="D20" t="s">
        <v>40</v>
      </c>
    </row>
    <row r="21" spans="1:6" x14ac:dyDescent="0.3">
      <c r="A21" t="s">
        <v>28</v>
      </c>
      <c r="B21">
        <f>B12</f>
        <v>9.8106292392818543E-3</v>
      </c>
      <c r="C21">
        <f>C12</f>
        <v>4.9318773282987548E-3</v>
      </c>
      <c r="D21">
        <f>D12</f>
        <v>1.3762022019516696E-2</v>
      </c>
    </row>
    <row r="22" spans="1:6" x14ac:dyDescent="0.3">
      <c r="A22" t="s">
        <v>41</v>
      </c>
      <c r="B22">
        <f>B13</f>
        <v>9.4441792416733259E-3</v>
      </c>
      <c r="D22">
        <f>D13</f>
        <v>1.4120290959608135E-2</v>
      </c>
    </row>
    <row r="24" spans="1:6" x14ac:dyDescent="0.3">
      <c r="A24" t="s">
        <v>42</v>
      </c>
      <c r="B24" t="s">
        <v>44</v>
      </c>
      <c r="C24" t="s">
        <v>45</v>
      </c>
      <c r="D24" t="s">
        <v>46</v>
      </c>
      <c r="E24" t="s">
        <v>47</v>
      </c>
      <c r="F24" t="s">
        <v>48</v>
      </c>
    </row>
    <row r="25" spans="1:6" x14ac:dyDescent="0.3">
      <c r="A25" t="s">
        <v>43</v>
      </c>
      <c r="B25" s="7">
        <f>(B21-B16)/B16</f>
        <v>7.827276547592725E-2</v>
      </c>
      <c r="C25" s="7">
        <f>(C21-B17)/B17</f>
        <v>8.4111707020741722E-2</v>
      </c>
      <c r="D25" s="7">
        <f>(D21-B19)/B19</f>
        <v>-2.0625724474177255E-2</v>
      </c>
      <c r="E25" s="7">
        <f>(B22-B16)/B16</f>
        <v>3.799675027927929E-2</v>
      </c>
      <c r="F25" s="7">
        <f>(D22-B19)/B19</f>
        <v>4.8704840878970937E-3</v>
      </c>
    </row>
    <row r="36" spans="1:8" x14ac:dyDescent="0.3">
      <c r="A36" t="s">
        <v>0</v>
      </c>
      <c r="B36">
        <v>1</v>
      </c>
      <c r="C36">
        <v>2</v>
      </c>
      <c r="D36">
        <v>3</v>
      </c>
      <c r="E36">
        <v>4</v>
      </c>
      <c r="F36">
        <v>5</v>
      </c>
      <c r="G36" t="s">
        <v>6</v>
      </c>
      <c r="H36" t="s">
        <v>7</v>
      </c>
    </row>
    <row r="37" spans="1:8" x14ac:dyDescent="0.3">
      <c r="A37" t="s">
        <v>12</v>
      </c>
      <c r="B37" s="2">
        <f>30.76/2</f>
        <v>15.38</v>
      </c>
      <c r="C37" s="2">
        <f>30.6/2</f>
        <v>15.3</v>
      </c>
      <c r="D37" s="2">
        <f>30.1/2</f>
        <v>15.05</v>
      </c>
      <c r="E37" s="2">
        <v>15.5</v>
      </c>
      <c r="F37" s="2">
        <v>16</v>
      </c>
      <c r="G37" s="2">
        <f>AVERAGE(B37:F37)</f>
        <v>15.446000000000002</v>
      </c>
      <c r="H37" s="2">
        <f>_xlfn.STDEV.P(B37:F37)/2</f>
        <v>0.15689486925964136</v>
      </c>
    </row>
    <row r="38" spans="1:8" x14ac:dyDescent="0.3">
      <c r="A38" t="s">
        <v>13</v>
      </c>
      <c r="B38" s="2">
        <f>38.7/2</f>
        <v>19.350000000000001</v>
      </c>
      <c r="C38" s="2">
        <f>39/2</f>
        <v>19.5</v>
      </c>
      <c r="D38" s="2">
        <f>38.74/2</f>
        <v>19.37</v>
      </c>
      <c r="E38" s="2">
        <f>38.81/2</f>
        <v>19.405000000000001</v>
      </c>
      <c r="F38" s="2">
        <f>38.78/2</f>
        <v>19.39</v>
      </c>
      <c r="G38" s="2">
        <f t="shared" ref="G38:G45" si="0">AVERAGE(B38:F38)</f>
        <v>19.402999999999999</v>
      </c>
      <c r="H38" s="2">
        <f t="shared" ref="H38:H45" si="1">_xlfn.STDEV.P(B38:F38)/2</f>
        <v>2.5961509971494118E-2</v>
      </c>
    </row>
    <row r="39" spans="1:8" x14ac:dyDescent="0.3">
      <c r="A39" t="s">
        <v>14</v>
      </c>
      <c r="B39" s="2">
        <f>26/2</f>
        <v>13</v>
      </c>
      <c r="C39" s="2">
        <f>25.98/2</f>
        <v>12.99</v>
      </c>
      <c r="D39" s="2">
        <f>25.8/2</f>
        <v>12.9</v>
      </c>
      <c r="E39" s="2">
        <f>25.92/2</f>
        <v>12.96</v>
      </c>
      <c r="F39" s="2">
        <f>25.88/2</f>
        <v>12.94</v>
      </c>
      <c r="G39" s="2">
        <f t="shared" si="0"/>
        <v>12.958000000000002</v>
      </c>
      <c r="H39" s="2">
        <f t="shared" si="1"/>
        <v>1.7999999999999988E-2</v>
      </c>
    </row>
    <row r="40" spans="1:8" x14ac:dyDescent="0.3">
      <c r="G40" s="2"/>
      <c r="H40" s="2"/>
    </row>
    <row r="41" spans="1:8" x14ac:dyDescent="0.3">
      <c r="A41" t="s">
        <v>15</v>
      </c>
      <c r="B41">
        <f>0.0804</f>
        <v>8.0399999999999999E-2</v>
      </c>
      <c r="C41">
        <f>0.0831</f>
        <v>8.3099999999999993E-2</v>
      </c>
      <c r="D41">
        <v>8.3699999999999997E-2</v>
      </c>
      <c r="E41">
        <f>0.084</f>
        <v>8.4000000000000005E-2</v>
      </c>
      <c r="F41">
        <f>0.0767</f>
        <v>7.6700000000000004E-2</v>
      </c>
      <c r="G41" s="4">
        <f t="shared" si="0"/>
        <v>8.158E-2</v>
      </c>
      <c r="H41" s="3">
        <f t="shared" si="1"/>
        <v>1.3760087209025958E-3</v>
      </c>
    </row>
    <row r="42" spans="1:8" x14ac:dyDescent="0.3">
      <c r="A42" t="s">
        <v>16</v>
      </c>
      <c r="B42">
        <f>0.02</f>
        <v>0.02</v>
      </c>
      <c r="C42">
        <f>0.0216</f>
        <v>2.1600000000000001E-2</v>
      </c>
      <c r="D42">
        <f>0.0214</f>
        <v>2.1399999999999999E-2</v>
      </c>
      <c r="E42">
        <v>2.1700000000000001E-2</v>
      </c>
      <c r="F42">
        <v>2.1499999999999998E-2</v>
      </c>
      <c r="G42" s="4">
        <f t="shared" si="0"/>
        <v>2.1239999999999998E-2</v>
      </c>
      <c r="H42" s="3">
        <f t="shared" si="1"/>
        <v>3.1400636936215157E-4</v>
      </c>
    </row>
    <row r="43" spans="1:8" x14ac:dyDescent="0.3">
      <c r="A43" t="s">
        <v>17</v>
      </c>
      <c r="B43">
        <v>1.4200000000000001E-2</v>
      </c>
      <c r="C43">
        <v>1.4999999999999999E-2</v>
      </c>
      <c r="D43">
        <v>1.4800000000000001E-2</v>
      </c>
      <c r="E43">
        <v>1.47E-2</v>
      </c>
      <c r="F43">
        <v>1.4200000000000001E-2</v>
      </c>
      <c r="G43" s="4">
        <f t="shared" si="0"/>
        <v>1.4579999999999999E-2</v>
      </c>
      <c r="H43" s="3">
        <f t="shared" si="1"/>
        <v>1.6248076809271899E-4</v>
      </c>
    </row>
    <row r="44" spans="1:8" x14ac:dyDescent="0.3">
      <c r="A44" t="s">
        <v>18</v>
      </c>
      <c r="B44">
        <v>5.7700000000000001E-2</v>
      </c>
      <c r="C44">
        <v>5.5599999999999997E-2</v>
      </c>
      <c r="D44">
        <v>5.6099999999999997E-2</v>
      </c>
      <c r="E44">
        <v>5.5500000000000001E-2</v>
      </c>
      <c r="F44">
        <v>5.8799999999999998E-2</v>
      </c>
      <c r="G44" s="4">
        <f t="shared" si="0"/>
        <v>5.6739999999999999E-2</v>
      </c>
      <c r="H44" s="3">
        <f t="shared" si="1"/>
        <v>6.485368146836386E-4</v>
      </c>
    </row>
    <row r="45" spans="1:8" x14ac:dyDescent="0.3">
      <c r="A45" t="s">
        <v>19</v>
      </c>
      <c r="B45">
        <v>4.1399999999999999E-2</v>
      </c>
      <c r="C45">
        <v>3.9800000000000002E-2</v>
      </c>
      <c r="D45">
        <v>3.95E-2</v>
      </c>
      <c r="E45">
        <v>4.0800000000000003E-2</v>
      </c>
      <c r="F45">
        <v>4.1700000000000001E-2</v>
      </c>
      <c r="G45" s="4">
        <f t="shared" si="0"/>
        <v>4.0639999999999996E-2</v>
      </c>
      <c r="H45" s="3">
        <f t="shared" si="1"/>
        <v>4.319722213291034E-4</v>
      </c>
    </row>
    <row r="48" spans="1:8" x14ac:dyDescent="0.3">
      <c r="A48" t="s">
        <v>8</v>
      </c>
      <c r="B48" t="s">
        <v>21</v>
      </c>
      <c r="C48" t="s">
        <v>22</v>
      </c>
      <c r="D48" t="s">
        <v>23</v>
      </c>
    </row>
    <row r="49" spans="1:4" x14ac:dyDescent="0.3">
      <c r="A49" t="s">
        <v>20</v>
      </c>
      <c r="B49">
        <v>4.5</v>
      </c>
      <c r="C49">
        <v>10.25</v>
      </c>
      <c r="D49">
        <v>9.75</v>
      </c>
    </row>
    <row r="50" spans="1:4" x14ac:dyDescent="0.3">
      <c r="A50" t="s">
        <v>24</v>
      </c>
      <c r="B50">
        <v>200</v>
      </c>
      <c r="C50">
        <v>50</v>
      </c>
      <c r="D50">
        <v>50</v>
      </c>
    </row>
    <row r="51" spans="1:4" x14ac:dyDescent="0.3">
      <c r="A51" t="s">
        <v>25</v>
      </c>
      <c r="B51">
        <f>G41*G39*G37/(G38*A2)</f>
        <v>3.3431133385751891E-2</v>
      </c>
      <c r="C51">
        <f>G45*G39*G37/(G38*A2)</f>
        <v>1.6654097337545439E-2</v>
      </c>
      <c r="D51">
        <f>G43*G39*G37/(G38*A2)</f>
        <v>5.9748213381253072E-3</v>
      </c>
    </row>
    <row r="52" spans="1:4" x14ac:dyDescent="0.3">
      <c r="A52" t="s">
        <v>26</v>
      </c>
      <c r="B52">
        <v>50</v>
      </c>
      <c r="D52">
        <v>200</v>
      </c>
    </row>
    <row r="53" spans="1:4" x14ac:dyDescent="0.3">
      <c r="A53" t="s">
        <v>27</v>
      </c>
      <c r="B53">
        <f>G42*G39*G37/(G38*A2)</f>
        <v>8.70406071479983E-3</v>
      </c>
      <c r="D53">
        <f>G44*G39*G37/(G38*A2)</f>
        <v>2.3251808143019886E-2</v>
      </c>
    </row>
    <row r="54" spans="1:4" x14ac:dyDescent="0.3">
      <c r="A54" t="s">
        <v>28</v>
      </c>
      <c r="B54">
        <f>B50*G39*G39*((9.8/B51)-1)/1000000000</f>
        <v>9.8106292392818543E-3</v>
      </c>
      <c r="C54">
        <f>C50*G39*G39*((9.8/C51)-1)/1000000000</f>
        <v>4.9318773282987548E-3</v>
      </c>
      <c r="D54">
        <f>D50*G39*G39*((9.8/D51)-1)/1000000000</f>
        <v>1.3762022019516696E-2</v>
      </c>
    </row>
    <row r="55" spans="1:4" x14ac:dyDescent="0.3">
      <c r="A55" t="s">
        <v>28</v>
      </c>
      <c r="B55">
        <f>B52*G39*G39*((9.8/B53)-1)/1000000000</f>
        <v>9.4441792416733259E-3</v>
      </c>
      <c r="D55">
        <f>D52*G39*G39*((9.8/D53)-1)/1000000000</f>
        <v>1.4120290959608135E-2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转动惯量理论值</vt:lpstr>
      <vt:lpstr>实验测定转动惯量</vt:lpstr>
      <vt:lpstr>验证角动量守恒</vt:lpstr>
      <vt:lpstr>误差分析</vt:lpstr>
      <vt:lpstr>尝试找到系统误差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yangshuyun</dc:creator>
  <cp:lastModifiedBy>舒云 杨</cp:lastModifiedBy>
  <dcterms:created xsi:type="dcterms:W3CDTF">2015-06-05T18:19:34Z</dcterms:created>
  <dcterms:modified xsi:type="dcterms:W3CDTF">2023-10-31T04:32:11Z</dcterms:modified>
</cp:coreProperties>
</file>