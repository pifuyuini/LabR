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182EF035-5090-460F-81DA-702ADA867FFB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光敏电阻伏安特性" sheetId="1" r:id="rId1"/>
    <sheet name="光敏电阻光照特性" sheetId="2" r:id="rId2"/>
    <sheet name="光敏电阻光谱特性" sheetId="3" r:id="rId3"/>
    <sheet name="PIN光照特性" sheetId="4" r:id="rId4"/>
    <sheet name="PIN伏安特性" sheetId="5" r:id="rId5"/>
    <sheet name="霍尔IC" sheetId="6" r:id="rId6"/>
    <sheet name="Sheet4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D7" i="3"/>
  <c r="B7" i="3"/>
  <c r="C5" i="3"/>
  <c r="D5" i="3"/>
  <c r="B5" i="3"/>
  <c r="C3" i="2"/>
  <c r="D3" i="2"/>
  <c r="E3" i="2"/>
  <c r="F3" i="2"/>
  <c r="G3" i="2"/>
  <c r="H3" i="2"/>
  <c r="I3" i="2"/>
  <c r="J3" i="2"/>
  <c r="K3" i="2"/>
  <c r="L3" i="2"/>
  <c r="B3" i="2"/>
  <c r="A12" i="1"/>
  <c r="G10" i="1"/>
  <c r="F10" i="1"/>
  <c r="H6" i="1"/>
  <c r="G6" i="1"/>
  <c r="H3" i="1"/>
  <c r="G3" i="1"/>
  <c r="C6" i="1"/>
  <c r="D6" i="1"/>
  <c r="E6" i="1"/>
  <c r="F6" i="1"/>
  <c r="B6" i="1"/>
  <c r="C3" i="1"/>
  <c r="D3" i="1"/>
  <c r="E3" i="1"/>
  <c r="F3" i="1"/>
  <c r="B3" i="1"/>
</calcChain>
</file>

<file path=xl/sharedStrings.xml><?xml version="1.0" encoding="utf-8"?>
<sst xmlns="http://schemas.openxmlformats.org/spreadsheetml/2006/main" count="55" uniqueCount="41">
  <si>
    <t>偏置电源电压/V（R=20kΩ）</t>
  </si>
  <si>
    <t>通过传感器电流/mA（R=20kΩ）</t>
    <phoneticPr fontId="1" type="noConversion"/>
  </si>
  <si>
    <t>偏置电源电压/V（R=1kΩ）</t>
    <phoneticPr fontId="1" type="noConversion"/>
  </si>
  <si>
    <t>通过传感器电流/mA（R=1kΩ）</t>
    <phoneticPr fontId="1" type="noConversion"/>
  </si>
  <si>
    <t>占空比</t>
    <phoneticPr fontId="1" type="noConversion"/>
  </si>
  <si>
    <t>99\%</t>
    <phoneticPr fontId="1" type="noConversion"/>
  </si>
  <si>
    <t>90\%</t>
    <phoneticPr fontId="1" type="noConversion"/>
  </si>
  <si>
    <t>80\%</t>
    <phoneticPr fontId="1" type="noConversion"/>
  </si>
  <si>
    <t>70\%</t>
    <phoneticPr fontId="1" type="noConversion"/>
  </si>
  <si>
    <t>60\%</t>
    <phoneticPr fontId="1" type="noConversion"/>
  </si>
  <si>
    <t>50\%</t>
    <phoneticPr fontId="1" type="noConversion"/>
  </si>
  <si>
    <t>40\%</t>
    <phoneticPr fontId="1" type="noConversion"/>
  </si>
  <si>
    <t>30\%</t>
    <phoneticPr fontId="1" type="noConversion"/>
  </si>
  <si>
    <t>20\%</t>
    <phoneticPr fontId="1" type="noConversion"/>
  </si>
  <si>
    <t>10\%</t>
    <phoneticPr fontId="1" type="noConversion"/>
  </si>
  <si>
    <t>1\%</t>
    <phoneticPr fontId="1" type="noConversion"/>
  </si>
  <si>
    <t>电压/V</t>
    <phoneticPr fontId="1" type="noConversion"/>
  </si>
  <si>
    <t>光源颜色</t>
    <phoneticPr fontId="1" type="noConversion"/>
  </si>
  <si>
    <t>红</t>
    <phoneticPr fontId="1" type="noConversion"/>
  </si>
  <si>
    <t>绿</t>
    <phoneticPr fontId="1" type="noConversion"/>
  </si>
  <si>
    <t>黄</t>
    <phoneticPr fontId="1" type="noConversion"/>
  </si>
  <si>
    <t>电压1/V</t>
    <phoneticPr fontId="1" type="noConversion"/>
  </si>
  <si>
    <t>电压2/V</t>
    <phoneticPr fontId="1" type="noConversion"/>
  </si>
  <si>
    <t>电压3/V</t>
    <phoneticPr fontId="1" type="noConversion"/>
  </si>
  <si>
    <t>光照占空比</t>
    <phoneticPr fontId="1" type="noConversion"/>
  </si>
  <si>
    <t>100\%</t>
    <phoneticPr fontId="1" type="noConversion"/>
  </si>
  <si>
    <t>光生电流/μA（白）</t>
    <phoneticPr fontId="1" type="noConversion"/>
  </si>
  <si>
    <t>光生电流/μA（红）</t>
    <phoneticPr fontId="1" type="noConversion"/>
  </si>
  <si>
    <t>电压/mV（红）</t>
    <phoneticPr fontId="1" type="noConversion"/>
  </si>
  <si>
    <t>电压/mV（白）</t>
    <phoneticPr fontId="1" type="noConversion"/>
  </si>
  <si>
    <t>偏压/V</t>
    <phoneticPr fontId="1" type="noConversion"/>
  </si>
  <si>
    <t>光生电流/mA（50\%）</t>
    <phoneticPr fontId="1" type="noConversion"/>
  </si>
  <si>
    <t>光生电流/mA（100\%）</t>
    <phoneticPr fontId="1" type="noConversion"/>
  </si>
  <si>
    <t>驱动电压/V</t>
    <phoneticPr fontId="1" type="noConversion"/>
  </si>
  <si>
    <t>电机转速</t>
    <phoneticPr fontId="1" type="noConversion"/>
  </si>
  <si>
    <t>电阻/kΩ</t>
  </si>
  <si>
    <t>电阻/kΩ</t>
    <phoneticPr fontId="1" type="noConversion"/>
  </si>
  <si>
    <t>均值</t>
    <phoneticPr fontId="1" type="noConversion"/>
  </si>
  <si>
    <t>均值标准差</t>
    <phoneticPr fontId="1" type="noConversion"/>
  </si>
  <si>
    <t>电压均值/V</t>
    <phoneticPr fontId="1" type="noConversion"/>
  </si>
  <si>
    <t>波长/nm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</si>
</sst>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97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77" fontId="0" fillId="0" borderId="0" xfId="0" applyNumberFormat="1"/>
    <xf numFmtId="197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A12" sqref="A12"/>
    </sheetView>
  </sheetViews>
  <sheetFormatPr defaultRowHeight="14" x14ac:dyDescent="0.3"/>
  <cols>
    <col min="1" max="1" width="24.08203125" bestFit="1" customWidth="1"/>
  </cols>
  <sheetData>
    <row r="1" spans="1:8" x14ac:dyDescent="0.3">
      <c r="A1" t="s">
        <v>0</v>
      </c>
      <c r="B1">
        <v>2</v>
      </c>
      <c r="C1">
        <v>4</v>
      </c>
      <c r="D1">
        <v>6</v>
      </c>
      <c r="E1">
        <v>8</v>
      </c>
      <c r="F1">
        <v>10</v>
      </c>
      <c r="G1" t="s">
        <v>37</v>
      </c>
      <c r="H1" t="s">
        <v>38</v>
      </c>
    </row>
    <row r="2" spans="1:8" x14ac:dyDescent="0.3">
      <c r="A2" t="s">
        <v>1</v>
      </c>
      <c r="B2" s="2">
        <v>8.2000000000000003E-2</v>
      </c>
      <c r="C2" s="2">
        <v>0.16400000000000001</v>
      </c>
      <c r="D2" s="2">
        <v>0.246</v>
      </c>
      <c r="E2" s="2">
        <v>0.32800000000000001</v>
      </c>
      <c r="F2" s="2">
        <v>0.41</v>
      </c>
    </row>
    <row r="3" spans="1:8" x14ac:dyDescent="0.3">
      <c r="A3" t="s">
        <v>36</v>
      </c>
      <c r="B3" s="2">
        <f>B1/B2</f>
        <v>24.390243902439025</v>
      </c>
      <c r="C3" s="2">
        <f t="shared" ref="C3:F3" si="0">C1/C2</f>
        <v>24.390243902439025</v>
      </c>
      <c r="D3" s="2">
        <f t="shared" si="0"/>
        <v>24.390243902439025</v>
      </c>
      <c r="E3" s="2">
        <f t="shared" si="0"/>
        <v>24.390243902439025</v>
      </c>
      <c r="F3" s="2">
        <f t="shared" si="0"/>
        <v>24.390243902439025</v>
      </c>
      <c r="G3" s="2">
        <f>AVERAGE(B3:F3)</f>
        <v>24.390243902439025</v>
      </c>
      <c r="H3" s="2">
        <f>_xlfn.STDEV.P(B3:F3)</f>
        <v>0</v>
      </c>
    </row>
    <row r="4" spans="1:8" x14ac:dyDescent="0.3">
      <c r="A4" t="s">
        <v>2</v>
      </c>
      <c r="B4">
        <v>4</v>
      </c>
      <c r="C4">
        <v>6</v>
      </c>
      <c r="D4">
        <v>8</v>
      </c>
      <c r="E4">
        <v>10</v>
      </c>
      <c r="F4">
        <v>12</v>
      </c>
      <c r="G4" t="s">
        <v>37</v>
      </c>
      <c r="H4" t="s">
        <v>38</v>
      </c>
    </row>
    <row r="5" spans="1:8" x14ac:dyDescent="0.3">
      <c r="A5" t="s">
        <v>3</v>
      </c>
      <c r="B5">
        <v>0.93</v>
      </c>
      <c r="C5">
        <v>1.38</v>
      </c>
      <c r="D5">
        <v>1.83</v>
      </c>
      <c r="E5">
        <v>2.31</v>
      </c>
      <c r="F5">
        <v>2.77</v>
      </c>
      <c r="G5" s="2"/>
      <c r="H5" s="2"/>
    </row>
    <row r="6" spans="1:8" x14ac:dyDescent="0.3">
      <c r="A6" t="s">
        <v>36</v>
      </c>
      <c r="B6" s="2">
        <f>B4/B5</f>
        <v>4.301075268817204</v>
      </c>
      <c r="C6" s="2">
        <f t="shared" ref="C6:F6" si="1">C4/C5</f>
        <v>4.3478260869565224</v>
      </c>
      <c r="D6" s="2">
        <f t="shared" si="1"/>
        <v>4.3715846994535514</v>
      </c>
      <c r="E6" s="2">
        <f t="shared" si="1"/>
        <v>4.329004329004329</v>
      </c>
      <c r="F6" s="2">
        <f t="shared" si="1"/>
        <v>4.3321299638989172</v>
      </c>
      <c r="G6" s="2">
        <f t="shared" ref="G4:G6" si="2">AVERAGE(B6:F6)</f>
        <v>4.3363240696261052</v>
      </c>
      <c r="H6" s="2">
        <f>_xlfn.STDEV.P(B6:F6)/2</f>
        <v>1.1595808515545416E-2</v>
      </c>
    </row>
    <row r="10" spans="1:8" x14ac:dyDescent="0.3">
      <c r="A10" t="s">
        <v>35</v>
      </c>
      <c r="B10" s="2">
        <v>4.301075268817204</v>
      </c>
      <c r="C10" s="2">
        <v>4.3478260869565224</v>
      </c>
      <c r="D10" s="2">
        <v>4.329004329004329</v>
      </c>
      <c r="E10" s="2">
        <v>4.3321299638989172</v>
      </c>
      <c r="F10" s="2">
        <f>AVERAGE(B10:E10)</f>
        <v>4.3275089121692432</v>
      </c>
      <c r="G10" s="2">
        <f>_xlfn.STDEV.P(B10:E10)*2/SQRT(3)</f>
        <v>1.9451782118858583E-2</v>
      </c>
    </row>
    <row r="12" spans="1:8" x14ac:dyDescent="0.3">
      <c r="A12" s="4">
        <f>G6-F10</f>
        <v>8.8151574568620106E-3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8EC9-3BF2-4DAA-808B-245B3B03928C}">
  <dimension ref="A1:L3"/>
  <sheetViews>
    <sheetView workbookViewId="0">
      <selection sqref="A1:L3"/>
    </sheetView>
  </sheetViews>
  <sheetFormatPr defaultRowHeight="14" x14ac:dyDescent="0.3"/>
  <cols>
    <col min="2" max="11" width="8.75" bestFit="1" customWidth="1"/>
    <col min="12" max="12" width="9.58203125" bestFit="1" customWidth="1"/>
  </cols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 t="s">
        <v>16</v>
      </c>
      <c r="B2" s="2">
        <v>0.99099999999999999</v>
      </c>
      <c r="C2" s="2">
        <v>0.92500000000000004</v>
      </c>
      <c r="D2" s="2">
        <v>0.84399999999999997</v>
      </c>
      <c r="E2" s="2">
        <v>0.76100000000000001</v>
      </c>
      <c r="F2" s="2">
        <v>0.67100000000000004</v>
      </c>
      <c r="G2" s="2">
        <v>0.57899999999999996</v>
      </c>
      <c r="H2" s="2">
        <v>0.49</v>
      </c>
      <c r="I2" s="2">
        <v>0.39600000000000002</v>
      </c>
      <c r="J2" s="2">
        <v>0.29599999999999999</v>
      </c>
      <c r="K2" s="2">
        <v>0.182</v>
      </c>
      <c r="L2" s="2">
        <v>0.03</v>
      </c>
    </row>
    <row r="3" spans="1:12" x14ac:dyDescent="0.3">
      <c r="A3" t="s">
        <v>36</v>
      </c>
      <c r="B3" s="2">
        <f>(8-B2)/B2</f>
        <v>7.0726538849646827</v>
      </c>
      <c r="C3" s="2">
        <f t="shared" ref="C3:L3" si="0">(8-C2)/C2</f>
        <v>7.6486486486486482</v>
      </c>
      <c r="D3" s="2">
        <f t="shared" si="0"/>
        <v>8.4786729857819907</v>
      </c>
      <c r="E3" s="2">
        <f t="shared" si="0"/>
        <v>9.5124835742444152</v>
      </c>
      <c r="F3" s="2">
        <f t="shared" si="0"/>
        <v>10.922503725782413</v>
      </c>
      <c r="G3" s="2">
        <f t="shared" si="0"/>
        <v>12.816925734024181</v>
      </c>
      <c r="H3" s="2">
        <f t="shared" si="0"/>
        <v>15.326530612244898</v>
      </c>
      <c r="I3" s="2">
        <f t="shared" si="0"/>
        <v>19.202020202020201</v>
      </c>
      <c r="J3" s="2">
        <f t="shared" si="0"/>
        <v>26.027027027027028</v>
      </c>
      <c r="K3" s="2">
        <f t="shared" si="0"/>
        <v>42.956043956043956</v>
      </c>
      <c r="L3" s="2">
        <f t="shared" si="0"/>
        <v>265.66666666666669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132B-713D-4318-8C58-20FE62A24278}">
  <dimension ref="A1:D7"/>
  <sheetViews>
    <sheetView workbookViewId="0">
      <selection sqref="A1:D7"/>
    </sheetView>
  </sheetViews>
  <sheetFormatPr defaultRowHeight="14" x14ac:dyDescent="0.3"/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A2" t="s">
        <v>21</v>
      </c>
      <c r="B2" s="2">
        <v>1.0149999999999999</v>
      </c>
      <c r="C2" s="2">
        <v>0.65700000000000003</v>
      </c>
      <c r="D2" s="2">
        <v>0.22700000000000001</v>
      </c>
    </row>
    <row r="3" spans="1:4" x14ac:dyDescent="0.3">
      <c r="A3" t="s">
        <v>22</v>
      </c>
      <c r="B3" s="2">
        <v>0.92</v>
      </c>
      <c r="C3" s="2">
        <v>0.60799999999999998</v>
      </c>
      <c r="D3" s="2">
        <v>0.27400000000000002</v>
      </c>
    </row>
    <row r="4" spans="1:4" x14ac:dyDescent="0.3">
      <c r="A4" t="s">
        <v>23</v>
      </c>
      <c r="B4" s="2">
        <v>0.99199999999999999</v>
      </c>
      <c r="C4" s="2">
        <v>0.60599999999999998</v>
      </c>
      <c r="D4" s="2">
        <v>0.26400000000000001</v>
      </c>
    </row>
    <row r="5" spans="1:4" x14ac:dyDescent="0.3">
      <c r="A5" t="s">
        <v>39</v>
      </c>
      <c r="B5" s="2">
        <f>AVERAGE(B2:B4)</f>
        <v>0.97566666666666668</v>
      </c>
      <c r="C5" s="2">
        <f t="shared" ref="C5:D5" si="0">AVERAGE(C2:C4)</f>
        <v>0.6236666666666667</v>
      </c>
      <c r="D5" s="2">
        <f t="shared" si="0"/>
        <v>0.255</v>
      </c>
    </row>
    <row r="6" spans="1:4" x14ac:dyDescent="0.3">
      <c r="A6" t="s">
        <v>40</v>
      </c>
      <c r="B6" s="2">
        <v>635</v>
      </c>
      <c r="C6" s="2">
        <v>510</v>
      </c>
      <c r="D6" s="2">
        <v>465</v>
      </c>
    </row>
    <row r="7" spans="1:4" x14ac:dyDescent="0.3">
      <c r="A7" t="s">
        <v>36</v>
      </c>
      <c r="B7">
        <f>(8-B5)/B5</f>
        <v>7.1995216945678164</v>
      </c>
      <c r="C7">
        <f>(8-C5)/C5</f>
        <v>11.82736504543025</v>
      </c>
      <c r="D7">
        <f>(8-D5)/D5</f>
        <v>30.372549019607842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DA76-209F-4684-B5B0-77D331771E8B}">
  <dimension ref="A1:G5"/>
  <sheetViews>
    <sheetView workbookViewId="0">
      <selection sqref="A1:G5"/>
    </sheetView>
  </sheetViews>
  <sheetFormatPr defaultRowHeight="14" x14ac:dyDescent="0.3"/>
  <sheetData>
    <row r="1" spans="1:7" x14ac:dyDescent="0.3">
      <c r="A1" t="s">
        <v>24</v>
      </c>
      <c r="B1">
        <v>0</v>
      </c>
      <c r="C1" t="s">
        <v>13</v>
      </c>
      <c r="D1" t="s">
        <v>11</v>
      </c>
      <c r="E1" t="s">
        <v>9</v>
      </c>
      <c r="F1" t="s">
        <v>7</v>
      </c>
      <c r="G1" t="s">
        <v>25</v>
      </c>
    </row>
    <row r="2" spans="1:7" x14ac:dyDescent="0.3">
      <c r="A2" t="s">
        <v>26</v>
      </c>
      <c r="B2" s="3">
        <v>0.4</v>
      </c>
      <c r="C2" s="3">
        <v>8.6</v>
      </c>
      <c r="D2" s="3">
        <v>17.100000000000001</v>
      </c>
      <c r="E2" s="3">
        <v>25.5</v>
      </c>
      <c r="F2" s="3">
        <v>33.9</v>
      </c>
      <c r="G2" s="3">
        <v>41.9</v>
      </c>
    </row>
    <row r="3" spans="1:7" x14ac:dyDescent="0.3">
      <c r="A3" t="s">
        <v>27</v>
      </c>
      <c r="B3" s="3">
        <v>0.5</v>
      </c>
      <c r="C3" s="3">
        <v>8.8000000000000007</v>
      </c>
      <c r="D3" s="3">
        <v>17.2</v>
      </c>
      <c r="E3" s="3">
        <v>26.4</v>
      </c>
      <c r="F3" s="3">
        <v>34.200000000000003</v>
      </c>
      <c r="G3" s="3">
        <v>40.4</v>
      </c>
    </row>
    <row r="4" spans="1:7" x14ac:dyDescent="0.3">
      <c r="A4" t="s">
        <v>28</v>
      </c>
      <c r="B4" s="3">
        <v>0.5</v>
      </c>
      <c r="C4" s="3">
        <v>9.6999999999999993</v>
      </c>
      <c r="D4" s="3">
        <v>19</v>
      </c>
      <c r="E4" s="3">
        <v>28.1</v>
      </c>
      <c r="F4" s="3">
        <v>37.5</v>
      </c>
      <c r="G4" s="3">
        <v>46</v>
      </c>
    </row>
    <row r="5" spans="1:7" x14ac:dyDescent="0.3">
      <c r="A5" t="s">
        <v>29</v>
      </c>
      <c r="B5" s="3">
        <v>0.4</v>
      </c>
      <c r="C5" s="3">
        <v>7.9</v>
      </c>
      <c r="D5" s="3">
        <v>16</v>
      </c>
      <c r="E5" s="3">
        <v>24.1</v>
      </c>
      <c r="F5" s="3">
        <v>31.7</v>
      </c>
      <c r="G5" s="3">
        <v>39.299999999999997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5C98-0254-4916-AA0B-2D51A6AD8873}">
  <dimension ref="A1:H3"/>
  <sheetViews>
    <sheetView workbookViewId="0">
      <selection sqref="A1:H3"/>
    </sheetView>
  </sheetViews>
  <sheetFormatPr defaultRowHeight="14" x14ac:dyDescent="0.3"/>
  <sheetData>
    <row r="1" spans="1:8" x14ac:dyDescent="0.3">
      <c r="A1" t="s">
        <v>30</v>
      </c>
      <c r="B1">
        <v>0</v>
      </c>
      <c r="C1">
        <v>-2</v>
      </c>
      <c r="D1">
        <v>-4</v>
      </c>
      <c r="E1">
        <v>-6</v>
      </c>
      <c r="F1">
        <v>-8</v>
      </c>
      <c r="G1">
        <v>-10</v>
      </c>
      <c r="H1">
        <v>-12</v>
      </c>
    </row>
    <row r="2" spans="1:8" x14ac:dyDescent="0.3">
      <c r="A2" t="s">
        <v>31</v>
      </c>
      <c r="B2" s="2">
        <v>1.4E-2</v>
      </c>
      <c r="C2" s="2">
        <v>1.33</v>
      </c>
      <c r="D2" s="2">
        <v>3.2</v>
      </c>
      <c r="E2" s="2">
        <v>5.0999999999999996</v>
      </c>
      <c r="F2" s="2">
        <v>7.02</v>
      </c>
      <c r="G2" s="2">
        <v>8.94</v>
      </c>
      <c r="H2" s="2">
        <v>10.81</v>
      </c>
    </row>
    <row r="3" spans="1:8" x14ac:dyDescent="0.3">
      <c r="A3" t="s">
        <v>32</v>
      </c>
      <c r="B3" s="2">
        <v>1.2999999999999999E-2</v>
      </c>
      <c r="C3" s="2">
        <v>1.31</v>
      </c>
      <c r="D3" s="2">
        <v>3.17</v>
      </c>
      <c r="E3" s="2">
        <v>5.03</v>
      </c>
      <c r="F3" s="2">
        <v>6.92</v>
      </c>
      <c r="G3" s="2">
        <v>8.8800000000000008</v>
      </c>
      <c r="H3" s="2">
        <v>10.83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0EAB-23C3-4D02-9AE0-C1C296962A9E}">
  <dimension ref="A1:G2"/>
  <sheetViews>
    <sheetView workbookViewId="0">
      <selection activeCell="M18" sqref="M18"/>
    </sheetView>
  </sheetViews>
  <sheetFormatPr defaultRowHeight="14" x14ac:dyDescent="0.3"/>
  <sheetData>
    <row r="1" spans="1:7" x14ac:dyDescent="0.3">
      <c r="A1" t="s">
        <v>33</v>
      </c>
      <c r="B1" s="1">
        <v>2.7</v>
      </c>
      <c r="C1" s="1">
        <v>3.4</v>
      </c>
      <c r="D1" s="1">
        <v>3.6</v>
      </c>
      <c r="E1" s="1">
        <v>4</v>
      </c>
      <c r="F1" s="1">
        <v>4.2</v>
      </c>
      <c r="G1" s="1">
        <v>4.95</v>
      </c>
    </row>
    <row r="2" spans="1:7" x14ac:dyDescent="0.3">
      <c r="A2" t="s">
        <v>34</v>
      </c>
      <c r="B2">
        <v>2360</v>
      </c>
      <c r="C2">
        <v>3438</v>
      </c>
      <c r="D2">
        <v>3750</v>
      </c>
      <c r="E2">
        <v>4331</v>
      </c>
      <c r="F2">
        <v>4600</v>
      </c>
      <c r="G2">
        <v>5700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30A1-E91C-427B-B4B4-8AB2E77F9DDF}">
  <dimension ref="A1:E7"/>
  <sheetViews>
    <sheetView tabSelected="1" workbookViewId="0">
      <selection activeCell="H8" sqref="H8"/>
    </sheetView>
  </sheetViews>
  <sheetFormatPr defaultRowHeight="14" x14ac:dyDescent="0.3"/>
  <sheetData>
    <row r="1" spans="1:5" x14ac:dyDescent="0.3">
      <c r="A1" t="s">
        <v>24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0</v>
      </c>
      <c r="B2" s="3">
        <v>0.4</v>
      </c>
      <c r="C2" s="3">
        <v>0.5</v>
      </c>
      <c r="D2" s="3">
        <v>0.5</v>
      </c>
      <c r="E2" s="3">
        <v>0.4</v>
      </c>
    </row>
    <row r="3" spans="1:5" x14ac:dyDescent="0.3">
      <c r="A3" s="5">
        <v>0.2</v>
      </c>
      <c r="B3" s="3">
        <v>8.6</v>
      </c>
      <c r="C3" s="3">
        <v>8.8000000000000007</v>
      </c>
      <c r="D3" s="3">
        <v>9.6999999999999993</v>
      </c>
      <c r="E3" s="3">
        <v>7.9</v>
      </c>
    </row>
    <row r="4" spans="1:5" x14ac:dyDescent="0.3">
      <c r="A4" s="5">
        <v>0.4</v>
      </c>
      <c r="B4" s="3">
        <v>17.100000000000001</v>
      </c>
      <c r="C4" s="3">
        <v>17.2</v>
      </c>
      <c r="D4" s="3">
        <v>19</v>
      </c>
      <c r="E4" s="3">
        <v>16</v>
      </c>
    </row>
    <row r="5" spans="1:5" x14ac:dyDescent="0.3">
      <c r="A5" s="5">
        <v>0.6</v>
      </c>
      <c r="B5" s="3">
        <v>25.5</v>
      </c>
      <c r="C5" s="3">
        <v>26.4</v>
      </c>
      <c r="D5" s="3">
        <v>28.1</v>
      </c>
      <c r="E5" s="3">
        <v>24.1</v>
      </c>
    </row>
    <row r="6" spans="1:5" x14ac:dyDescent="0.3">
      <c r="A6" s="5">
        <v>0.8</v>
      </c>
      <c r="B6" s="3">
        <v>33.9</v>
      </c>
      <c r="C6" s="3">
        <v>34.200000000000003</v>
      </c>
      <c r="D6" s="3">
        <v>37.5</v>
      </c>
      <c r="E6" s="3">
        <v>31.7</v>
      </c>
    </row>
    <row r="7" spans="1:5" x14ac:dyDescent="0.3">
      <c r="A7" s="5">
        <v>1</v>
      </c>
      <c r="B7" s="3">
        <v>41.9</v>
      </c>
      <c r="C7" s="3">
        <v>40.4</v>
      </c>
      <c r="D7" s="3">
        <v>46</v>
      </c>
      <c r="E7" s="3">
        <v>39.299999999999997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光敏电阻伏安特性</vt:lpstr>
      <vt:lpstr>光敏电阻光照特性</vt:lpstr>
      <vt:lpstr>光敏电阻光谱特性</vt:lpstr>
      <vt:lpstr>PIN光照特性</vt:lpstr>
      <vt:lpstr>PIN伏安特性</vt:lpstr>
      <vt:lpstr>霍尔IC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2023-11-22T01:54:15Z</dcterms:modified>
</cp:coreProperties>
</file>