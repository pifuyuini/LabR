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97A14309-D435-41D4-A654-2835EAF9612E}" xr6:coauthVersionLast="47" xr6:coauthVersionMax="47" xr10:uidLastSave="{00000000-0000-0000-0000-000000000000}"/>
  <bookViews>
    <workbookView xWindow="1520" yWindow="1520" windowWidth="20540" windowHeight="13780" activeTab="3" xr2:uid="{00000000-000D-0000-FFFF-FFFF00000000}"/>
  </bookViews>
  <sheets>
    <sheet name="音叉谐振曲线" sheetId="1" r:id="rId1"/>
    <sheet name="音叉+软管谐振曲线" sheetId="2" r:id="rId2"/>
    <sheet name="谐振调节" sheetId="3" r:id="rId3"/>
    <sheet name="谐振峰与有效质量" sheetId="6" r:id="rId4"/>
    <sheet name="展示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" l="1"/>
  <c r="D3" i="6"/>
  <c r="D4" i="6"/>
  <c r="D2" i="6"/>
  <c r="F3" i="3"/>
  <c r="F4" i="3"/>
  <c r="F2" i="3"/>
  <c r="E3" i="3"/>
  <c r="E4" i="3"/>
  <c r="E2" i="3"/>
  <c r="C4" i="3"/>
  <c r="D4" i="3"/>
  <c r="B4" i="3"/>
  <c r="C10" i="2"/>
  <c r="C9" i="2"/>
  <c r="C8" i="2"/>
  <c r="C7" i="2"/>
  <c r="C6" i="2"/>
  <c r="C5" i="2"/>
  <c r="C4" i="2"/>
  <c r="C3" i="2"/>
  <c r="C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<sst xmlns="http://schemas.openxmlformats.org/spreadsheetml/2006/main" count="28" uniqueCount="13">
  <si>
    <t>驱动力频率/Hz</t>
  </si>
  <si>
    <t>T/2内波数</t>
  </si>
  <si>
    <t>音叉振幅/mm</t>
  </si>
  <si>
    <t>音叉+软管振幅/mm</t>
  </si>
  <si>
    <t>频率/Hz</t>
    <phoneticPr fontId="3" type="noConversion"/>
  </si>
  <si>
    <t>半周期内波数/个</t>
    <phoneticPr fontId="3" type="noConversion"/>
  </si>
  <si>
    <t>音叉振动振幅</t>
    <phoneticPr fontId="3" type="noConversion"/>
  </si>
  <si>
    <t>测量序号</t>
    <phoneticPr fontId="3" type="noConversion"/>
  </si>
  <si>
    <t>均值</t>
    <phoneticPr fontId="3" type="noConversion"/>
  </si>
  <si>
    <t>实验标准差</t>
    <phoneticPr fontId="3" type="noConversion"/>
  </si>
  <si>
    <t>谐振频率/Hz</t>
    <phoneticPr fontId="3" type="noConversion"/>
  </si>
  <si>
    <r>
      <rPr>
        <sz val="10"/>
        <color rgb="FF000000"/>
        <rFont val="微软雅黑"/>
        <family val="2"/>
        <charset val="134"/>
      </rPr>
      <t>软管数</t>
    </r>
    <r>
      <rPr>
        <sz val="10"/>
        <color rgb="FF000000"/>
        <rFont val="Arial"/>
        <family val="2"/>
        <scheme val="minor"/>
      </rPr>
      <t>/个</t>
    </r>
    <phoneticPr fontId="3" type="noConversion"/>
  </si>
  <si>
    <t>振幅/mm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</si>
</sst>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77" fontId="0" fillId="0" borderId="0" xfId="0" applyNumberFormat="1"/>
    <xf numFmtId="2" fontId="0" fillId="0" borderId="0" xfId="0" applyNumberForma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workbookViewId="0">
      <selection sqref="A1:C10"/>
    </sheetView>
  </sheetViews>
  <sheetFormatPr defaultColWidth="12.6328125" defaultRowHeight="15.75" customHeight="1"/>
  <sheetData>
    <row r="1" spans="1:4" ht="15.75" customHeight="1">
      <c r="A1" s="1" t="s">
        <v>0</v>
      </c>
      <c r="B1" s="1" t="s">
        <v>1</v>
      </c>
      <c r="C1" s="1" t="s">
        <v>2</v>
      </c>
    </row>
    <row r="2" spans="1:4" ht="15.75" customHeight="1">
      <c r="A2" s="1">
        <v>506.2</v>
      </c>
      <c r="B2" s="1">
        <v>4.5</v>
      </c>
      <c r="C2" s="1">
        <f t="shared" ref="C2:C10" si="0">B2/200</f>
        <v>2.2499999999999999E-2</v>
      </c>
      <c r="D2" s="1"/>
    </row>
    <row r="3" spans="1:4" ht="15.75" customHeight="1">
      <c r="A3" s="1">
        <v>506.3</v>
      </c>
      <c r="B3" s="1">
        <v>6</v>
      </c>
      <c r="C3" s="1">
        <f t="shared" si="0"/>
        <v>0.03</v>
      </c>
      <c r="D3" s="1"/>
    </row>
    <row r="4" spans="1:4" ht="15.75" customHeight="1">
      <c r="A4" s="1">
        <v>506.4</v>
      </c>
      <c r="B4" s="1">
        <v>7.5</v>
      </c>
      <c r="C4" s="1">
        <f t="shared" si="0"/>
        <v>3.7499999999999999E-2</v>
      </c>
      <c r="D4" s="1"/>
    </row>
    <row r="5" spans="1:4" ht="15.75" customHeight="1">
      <c r="A5" s="1">
        <v>506.5</v>
      </c>
      <c r="B5" s="1">
        <v>24.5</v>
      </c>
      <c r="C5" s="1">
        <f t="shared" si="0"/>
        <v>0.1225</v>
      </c>
      <c r="D5" s="1"/>
    </row>
    <row r="6" spans="1:4" ht="15.75" customHeight="1">
      <c r="A6" s="1">
        <v>506.6</v>
      </c>
      <c r="B6" s="1">
        <v>20</v>
      </c>
      <c r="C6" s="1">
        <f t="shared" si="0"/>
        <v>0.1</v>
      </c>
      <c r="D6" s="1"/>
    </row>
    <row r="7" spans="1:4" ht="15.75" customHeight="1">
      <c r="A7" s="1">
        <v>506.7</v>
      </c>
      <c r="B7" s="1">
        <v>17</v>
      </c>
      <c r="C7" s="1">
        <f t="shared" si="0"/>
        <v>8.5000000000000006E-2</v>
      </c>
      <c r="D7" s="1"/>
    </row>
    <row r="8" spans="1:4" ht="15.75" customHeight="1">
      <c r="A8" s="1">
        <v>506.8</v>
      </c>
      <c r="B8" s="1">
        <v>14.5</v>
      </c>
      <c r="C8" s="1">
        <f t="shared" si="0"/>
        <v>7.2499999999999995E-2</v>
      </c>
      <c r="D8" s="1"/>
    </row>
    <row r="9" spans="1:4" ht="15.75" customHeight="1">
      <c r="A9" s="1">
        <v>506.9</v>
      </c>
      <c r="B9" s="1">
        <v>11.5</v>
      </c>
      <c r="C9" s="1">
        <f t="shared" si="0"/>
        <v>5.7500000000000002E-2</v>
      </c>
      <c r="D9" s="1"/>
    </row>
    <row r="10" spans="1:4" ht="15.75" customHeight="1">
      <c r="A10" s="1">
        <v>507</v>
      </c>
      <c r="B10" s="1">
        <v>9.5</v>
      </c>
      <c r="C10" s="1">
        <f t="shared" si="0"/>
        <v>4.7500000000000001E-2</v>
      </c>
      <c r="D10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"/>
  <sheetViews>
    <sheetView workbookViewId="0">
      <selection sqref="A1:C10"/>
    </sheetView>
  </sheetViews>
  <sheetFormatPr defaultColWidth="12.6328125" defaultRowHeight="15.75" customHeight="1"/>
  <sheetData>
    <row r="1" spans="1:3" ht="15.75" customHeight="1">
      <c r="A1" s="1" t="s">
        <v>0</v>
      </c>
      <c r="B1" s="1" t="s">
        <v>1</v>
      </c>
      <c r="C1" s="1" t="s">
        <v>3</v>
      </c>
    </row>
    <row r="2" spans="1:3" ht="15.75" customHeight="1">
      <c r="A2" s="1">
        <v>505.47</v>
      </c>
      <c r="B2" s="1">
        <v>4</v>
      </c>
      <c r="C2" s="1">
        <f t="shared" ref="C2:C10" si="0">B2/200</f>
        <v>0.02</v>
      </c>
    </row>
    <row r="3" spans="1:3" ht="15.75" customHeight="1">
      <c r="A3" s="1">
        <v>505.57</v>
      </c>
      <c r="B3" s="1">
        <v>5</v>
      </c>
      <c r="C3" s="1">
        <f t="shared" si="0"/>
        <v>2.5000000000000001E-2</v>
      </c>
    </row>
    <row r="4" spans="1:3" ht="15.75" customHeight="1">
      <c r="A4" s="1">
        <v>505.67</v>
      </c>
      <c r="B4" s="1">
        <v>6.5</v>
      </c>
      <c r="C4" s="1">
        <f t="shared" si="0"/>
        <v>3.2500000000000001E-2</v>
      </c>
    </row>
    <row r="5" spans="1:3" ht="15.75" customHeight="1">
      <c r="A5" s="1">
        <v>505.77</v>
      </c>
      <c r="B5" s="1">
        <v>17</v>
      </c>
      <c r="C5" s="1">
        <f t="shared" si="0"/>
        <v>8.5000000000000006E-2</v>
      </c>
    </row>
    <row r="6" spans="1:3" ht="15.75" customHeight="1">
      <c r="A6" s="1">
        <v>505.87</v>
      </c>
      <c r="B6" s="1">
        <v>17</v>
      </c>
      <c r="C6" s="1">
        <f t="shared" si="0"/>
        <v>8.5000000000000006E-2</v>
      </c>
    </row>
    <row r="7" spans="1:3" ht="15.75" customHeight="1">
      <c r="A7" s="1">
        <v>505.97</v>
      </c>
      <c r="B7" s="1">
        <v>14.5</v>
      </c>
      <c r="C7" s="1">
        <f t="shared" si="0"/>
        <v>7.2499999999999995E-2</v>
      </c>
    </row>
    <row r="8" spans="1:3" ht="15.75" customHeight="1">
      <c r="A8" s="1">
        <v>506.07</v>
      </c>
      <c r="B8" s="1">
        <v>12.5</v>
      </c>
      <c r="C8" s="1">
        <f t="shared" si="0"/>
        <v>6.25E-2</v>
      </c>
    </row>
    <row r="9" spans="1:3" ht="15.75" customHeight="1">
      <c r="A9" s="1">
        <v>506.17</v>
      </c>
      <c r="B9" s="1">
        <v>10</v>
      </c>
      <c r="C9" s="1">
        <f t="shared" si="0"/>
        <v>0.05</v>
      </c>
    </row>
    <row r="10" spans="1:3" ht="15.75" customHeight="1">
      <c r="A10" s="1">
        <v>506.27</v>
      </c>
      <c r="B10" s="1">
        <v>8.5</v>
      </c>
      <c r="C10" s="1">
        <f t="shared" si="0"/>
        <v>4.2500000000000003E-2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05B0-0F49-4412-B987-CDC3C55E74A9}">
  <dimension ref="A1:H4"/>
  <sheetViews>
    <sheetView workbookViewId="0">
      <selection sqref="A1:F4"/>
    </sheetView>
  </sheetViews>
  <sheetFormatPr defaultRowHeight="12.5"/>
  <sheetData>
    <row r="1" spans="1:8">
      <c r="A1" s="2" t="s">
        <v>7</v>
      </c>
      <c r="B1">
        <v>1</v>
      </c>
      <c r="C1">
        <v>2</v>
      </c>
      <c r="D1">
        <v>3</v>
      </c>
      <c r="E1" s="2" t="s">
        <v>8</v>
      </c>
      <c r="F1" s="2" t="s">
        <v>9</v>
      </c>
      <c r="H1" s="2">
        <f>2*E3*E2</f>
        <v>24987.333333333336</v>
      </c>
    </row>
    <row r="2" spans="1:8">
      <c r="A2" s="2" t="s">
        <v>4</v>
      </c>
      <c r="B2" s="4">
        <v>506.5</v>
      </c>
      <c r="C2" s="4">
        <v>506.54</v>
      </c>
      <c r="D2" s="4">
        <v>506.46</v>
      </c>
      <c r="E2" s="4">
        <f>AVERAGE(B2:D2)</f>
        <v>506.5</v>
      </c>
      <c r="F2" s="3">
        <f>_xlfn.STDEV.P(B2:D2)/SQRT(2)</f>
        <v>2.3094010767596842E-2</v>
      </c>
    </row>
    <row r="3" spans="1:8">
      <c r="A3" s="2" t="s">
        <v>5</v>
      </c>
      <c r="B3">
        <v>24.5</v>
      </c>
      <c r="C3">
        <v>24.5</v>
      </c>
      <c r="D3">
        <v>25</v>
      </c>
      <c r="E3" s="4">
        <f t="shared" ref="E3:E4" si="0">AVERAGE(B3:D3)</f>
        <v>24.666666666666668</v>
      </c>
      <c r="F3" s="3">
        <f t="shared" ref="F3:F4" si="1">_xlfn.STDEV.P(B3:D3)/SQRT(2)</f>
        <v>0.16666666666666666</v>
      </c>
    </row>
    <row r="4" spans="1:8">
      <c r="A4" s="2" t="s">
        <v>6</v>
      </c>
      <c r="B4" s="3">
        <f>B3/200</f>
        <v>0.1225</v>
      </c>
      <c r="C4" s="3">
        <f t="shared" ref="C4:D4" si="2">C3/200</f>
        <v>0.1225</v>
      </c>
      <c r="D4" s="3">
        <f t="shared" si="2"/>
        <v>0.125</v>
      </c>
      <c r="E4" s="3">
        <f t="shared" si="0"/>
        <v>0.12333333333333334</v>
      </c>
      <c r="F4" s="3">
        <f t="shared" si="1"/>
        <v>8.3333333333333404E-4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9998-1563-4626-9456-21B1EF41F96B}">
  <dimension ref="A1:D4"/>
  <sheetViews>
    <sheetView tabSelected="1" workbookViewId="0">
      <selection sqref="A1:D4"/>
    </sheetView>
  </sheetViews>
  <sheetFormatPr defaultRowHeight="12.5"/>
  <sheetData>
    <row r="1" spans="1:4" ht="14.5">
      <c r="A1" s="5" t="s">
        <v>11</v>
      </c>
      <c r="B1" s="2" t="s">
        <v>10</v>
      </c>
      <c r="C1" s="2" t="s">
        <v>5</v>
      </c>
      <c r="D1" s="2" t="s">
        <v>12</v>
      </c>
    </row>
    <row r="2" spans="1:4">
      <c r="A2">
        <v>1</v>
      </c>
      <c r="B2">
        <v>505.82</v>
      </c>
      <c r="C2">
        <v>17</v>
      </c>
      <c r="D2" s="3">
        <f>C2/200</f>
        <v>8.5000000000000006E-2</v>
      </c>
    </row>
    <row r="3" spans="1:4">
      <c r="A3">
        <v>2</v>
      </c>
      <c r="B3">
        <v>505.46</v>
      </c>
      <c r="C3">
        <v>10.5</v>
      </c>
      <c r="D3" s="3">
        <f t="shared" ref="D3:D4" si="0">C3/200</f>
        <v>5.2499999999999998E-2</v>
      </c>
    </row>
    <row r="4" spans="1:4">
      <c r="A4">
        <v>3</v>
      </c>
      <c r="B4">
        <v>505.16</v>
      </c>
      <c r="C4">
        <v>8.5</v>
      </c>
      <c r="D4" s="3">
        <f t="shared" si="0"/>
        <v>4.2500000000000003E-2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B70C-2747-4B10-BBC9-52D2D4CEBAA2}">
  <dimension ref="A1:N21"/>
  <sheetViews>
    <sheetView workbookViewId="0">
      <selection activeCell="E12" sqref="E12:N14"/>
    </sheetView>
  </sheetViews>
  <sheetFormatPr defaultRowHeight="12.5"/>
  <sheetData>
    <row r="1" spans="1:14">
      <c r="A1" t="s">
        <v>0</v>
      </c>
      <c r="B1" t="s">
        <v>1</v>
      </c>
      <c r="C1" t="s">
        <v>2</v>
      </c>
      <c r="E1" t="s">
        <v>0</v>
      </c>
      <c r="F1">
        <v>506.2</v>
      </c>
      <c r="G1">
        <v>506.3</v>
      </c>
      <c r="H1">
        <v>506.4</v>
      </c>
      <c r="I1">
        <v>506.5</v>
      </c>
      <c r="J1">
        <v>506.6</v>
      </c>
      <c r="K1">
        <v>506.7</v>
      </c>
      <c r="L1">
        <v>506.8</v>
      </c>
      <c r="M1">
        <v>506.9</v>
      </c>
      <c r="N1">
        <v>507</v>
      </c>
    </row>
    <row r="2" spans="1:14">
      <c r="A2">
        <v>506.2</v>
      </c>
      <c r="B2">
        <v>4.5</v>
      </c>
      <c r="C2">
        <v>2.2499999999999999E-2</v>
      </c>
      <c r="E2" t="s">
        <v>1</v>
      </c>
      <c r="F2">
        <v>4.5</v>
      </c>
      <c r="G2">
        <v>6</v>
      </c>
      <c r="H2">
        <v>7.5</v>
      </c>
      <c r="I2">
        <v>24.5</v>
      </c>
      <c r="J2">
        <v>20</v>
      </c>
      <c r="K2">
        <v>17</v>
      </c>
      <c r="L2">
        <v>14.5</v>
      </c>
      <c r="M2">
        <v>11.5</v>
      </c>
      <c r="N2">
        <v>9.5</v>
      </c>
    </row>
    <row r="3" spans="1:14">
      <c r="A3">
        <v>506.3</v>
      </c>
      <c r="B3">
        <v>6</v>
      </c>
      <c r="C3">
        <v>0.03</v>
      </c>
      <c r="E3" t="s">
        <v>2</v>
      </c>
      <c r="F3" s="3">
        <v>2.2499999999999999E-2</v>
      </c>
      <c r="G3" s="3">
        <v>0.03</v>
      </c>
      <c r="H3" s="3">
        <v>3.7499999999999999E-2</v>
      </c>
      <c r="I3" s="3">
        <v>0.1225</v>
      </c>
      <c r="J3" s="3">
        <v>0.1</v>
      </c>
      <c r="K3" s="3">
        <v>8.5000000000000006E-2</v>
      </c>
      <c r="L3" s="3">
        <v>7.2499999999999995E-2</v>
      </c>
      <c r="M3" s="3">
        <v>5.7500000000000002E-2</v>
      </c>
      <c r="N3" s="3">
        <v>4.7500000000000001E-2</v>
      </c>
    </row>
    <row r="4" spans="1:14">
      <c r="A4">
        <v>506.4</v>
      </c>
      <c r="B4">
        <v>7.5</v>
      </c>
      <c r="C4">
        <v>3.7499999999999999E-2</v>
      </c>
    </row>
    <row r="5" spans="1:14">
      <c r="A5">
        <v>506.5</v>
      </c>
      <c r="B5">
        <v>24.5</v>
      </c>
      <c r="C5">
        <v>0.1225</v>
      </c>
    </row>
    <row r="6" spans="1:14">
      <c r="A6">
        <v>506.6</v>
      </c>
      <c r="B6">
        <v>20</v>
      </c>
      <c r="C6">
        <v>0.1</v>
      </c>
    </row>
    <row r="7" spans="1:14">
      <c r="A7">
        <v>506.7</v>
      </c>
      <c r="B7">
        <v>17</v>
      </c>
      <c r="C7">
        <v>8.5000000000000006E-2</v>
      </c>
    </row>
    <row r="8" spans="1:14">
      <c r="A8">
        <v>506.8</v>
      </c>
      <c r="B8">
        <v>14.5</v>
      </c>
      <c r="C8">
        <v>7.2499999999999995E-2</v>
      </c>
    </row>
    <row r="9" spans="1:14">
      <c r="A9">
        <v>506.9</v>
      </c>
      <c r="B9">
        <v>11.5</v>
      </c>
      <c r="C9">
        <v>5.7500000000000002E-2</v>
      </c>
    </row>
    <row r="10" spans="1:14">
      <c r="A10">
        <v>507</v>
      </c>
      <c r="B10">
        <v>9.5</v>
      </c>
      <c r="C10">
        <v>4.7500000000000001E-2</v>
      </c>
    </row>
    <row r="12" spans="1:14">
      <c r="A12" t="s">
        <v>0</v>
      </c>
      <c r="B12" t="s">
        <v>1</v>
      </c>
      <c r="C12" t="s">
        <v>3</v>
      </c>
      <c r="E12" t="s">
        <v>0</v>
      </c>
      <c r="F12">
        <v>505.47</v>
      </c>
      <c r="G12">
        <v>505.57</v>
      </c>
      <c r="H12">
        <v>505.67</v>
      </c>
      <c r="I12">
        <v>505.77</v>
      </c>
      <c r="J12">
        <v>505.87</v>
      </c>
      <c r="K12">
        <v>505.97</v>
      </c>
      <c r="L12">
        <v>506.07</v>
      </c>
      <c r="M12">
        <v>506.17</v>
      </c>
      <c r="N12">
        <v>506.27</v>
      </c>
    </row>
    <row r="13" spans="1:14">
      <c r="A13">
        <v>505.47</v>
      </c>
      <c r="B13">
        <v>4</v>
      </c>
      <c r="C13">
        <v>0.02</v>
      </c>
      <c r="E13" t="s">
        <v>1</v>
      </c>
      <c r="F13">
        <v>4</v>
      </c>
      <c r="G13">
        <v>5</v>
      </c>
      <c r="H13">
        <v>6.5</v>
      </c>
      <c r="I13">
        <v>17</v>
      </c>
      <c r="J13">
        <v>17</v>
      </c>
      <c r="K13">
        <v>14.5</v>
      </c>
      <c r="L13">
        <v>12.5</v>
      </c>
      <c r="M13">
        <v>10</v>
      </c>
      <c r="N13">
        <v>8.5</v>
      </c>
    </row>
    <row r="14" spans="1:14">
      <c r="A14">
        <v>505.57</v>
      </c>
      <c r="B14">
        <v>5</v>
      </c>
      <c r="C14">
        <v>2.5000000000000001E-2</v>
      </c>
      <c r="E14" t="s">
        <v>3</v>
      </c>
      <c r="F14" s="3">
        <v>0.02</v>
      </c>
      <c r="G14" s="3">
        <v>2.5000000000000001E-2</v>
      </c>
      <c r="H14" s="3">
        <v>3.2500000000000001E-2</v>
      </c>
      <c r="I14" s="3">
        <v>8.5000000000000006E-2</v>
      </c>
      <c r="J14" s="3">
        <v>8.5000000000000006E-2</v>
      </c>
      <c r="K14" s="3">
        <v>7.2499999999999995E-2</v>
      </c>
      <c r="L14" s="3">
        <v>6.25E-2</v>
      </c>
      <c r="M14" s="3">
        <v>0.05</v>
      </c>
      <c r="N14" s="3">
        <v>4.2500000000000003E-2</v>
      </c>
    </row>
    <row r="15" spans="1:14">
      <c r="A15">
        <v>505.67</v>
      </c>
      <c r="B15">
        <v>6.5</v>
      </c>
      <c r="C15">
        <v>3.2500000000000001E-2</v>
      </c>
    </row>
    <row r="16" spans="1:14">
      <c r="A16">
        <v>505.77</v>
      </c>
      <c r="B16">
        <v>17</v>
      </c>
      <c r="C16">
        <v>8.5000000000000006E-2</v>
      </c>
    </row>
    <row r="17" spans="1:3">
      <c r="A17">
        <v>505.87</v>
      </c>
      <c r="B17">
        <v>17</v>
      </c>
      <c r="C17">
        <v>8.5000000000000006E-2</v>
      </c>
    </row>
    <row r="18" spans="1:3">
      <c r="A18">
        <v>505.97</v>
      </c>
      <c r="B18">
        <v>14.5</v>
      </c>
      <c r="C18">
        <v>7.2499999999999995E-2</v>
      </c>
    </row>
    <row r="19" spans="1:3">
      <c r="A19">
        <v>506.07</v>
      </c>
      <c r="B19">
        <v>12.5</v>
      </c>
      <c r="C19">
        <v>6.25E-2</v>
      </c>
    </row>
    <row r="20" spans="1:3">
      <c r="A20">
        <v>506.17</v>
      </c>
      <c r="B20">
        <v>10</v>
      </c>
      <c r="C20">
        <v>0.05</v>
      </c>
    </row>
    <row r="21" spans="1:3">
      <c r="A21">
        <v>506.27</v>
      </c>
      <c r="B21">
        <v>8.5</v>
      </c>
      <c r="C21">
        <v>4.2500000000000003E-2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音叉谐振曲线</vt:lpstr>
      <vt:lpstr>音叉+软管谐振曲线</vt:lpstr>
      <vt:lpstr>谐振调节</vt:lpstr>
      <vt:lpstr>谐振峰与有效质量</vt:lpstr>
      <vt:lpstr>展示表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舒云 杨</cp:lastModifiedBy>
  <dcterms:modified xsi:type="dcterms:W3CDTF">2024-04-17T18:33:42Z</dcterms:modified>
</cp:coreProperties>
</file>