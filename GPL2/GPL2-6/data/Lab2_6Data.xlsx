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6CD7B931-31B2-40DB-88E1-741015D0F2AA}" xr6:coauthVersionLast="47" xr6:coauthVersionMax="47" xr10:uidLastSave="{00000000-0000-0000-0000-000000000000}"/>
  <bookViews>
    <workbookView xWindow="3050" yWindow="970" windowWidth="20540" windowHeight="13780" firstSheet="1" activeTab="3" xr2:uid="{00000000-000D-0000-FFFF-FFFF00000000}"/>
  </bookViews>
  <sheets>
    <sheet name="验证Malus定律（白光）" sheetId="1" r:id="rId1"/>
    <sheet name="验证Malus定律（绿光）" sheetId="2" r:id="rId2"/>
    <sheet name="验证Malus定律（红光）" sheetId="3" r:id="rId3"/>
    <sheet name="Brewater角的测量" sheetId="4" r:id="rId4"/>
    <sheet name="椭偏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C2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2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</calcChain>
</file>

<file path=xl/sharedStrings.xml><?xml version="1.0" encoding="utf-8"?>
<sst xmlns="http://schemas.openxmlformats.org/spreadsheetml/2006/main" count="19" uniqueCount="10">
  <si>
    <t>\theta_{P2}/degree</t>
  </si>
  <si>
    <t>I/mW</t>
  </si>
  <si>
    <t>I/\mu W</t>
  </si>
  <si>
    <t>\cos(\theta_{P2}+\phi)</t>
    <phoneticPr fontId="3" type="noConversion"/>
  </si>
  <si>
    <t>sqr_cos</t>
    <phoneticPr fontId="3" type="noConversion"/>
  </si>
  <si>
    <t>L/m</t>
    <phoneticPr fontId="3" type="noConversion"/>
  </si>
  <si>
    <t>H/m</t>
    <phoneticPr fontId="3" type="noConversion"/>
  </si>
  <si>
    <t>theta_b</t>
    <phoneticPr fontId="3" type="noConversion"/>
  </si>
  <si>
    <t>参考值</t>
    <phoneticPr fontId="3" type="noConversion"/>
  </si>
  <si>
    <t>相对误差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</si>
</sst>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9" formatCode="0.000000000000000_ 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79" fontId="0" fillId="0" borderId="0" xfId="0" applyNumberFormat="1"/>
    <xf numFmtId="176" fontId="0" fillId="0" borderId="0" xfId="0" applyNumberFormat="1"/>
    <xf numFmtId="2" fontId="0" fillId="0" borderId="0" xfId="0" applyNumberFormat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8"/>
  <sheetViews>
    <sheetView workbookViewId="0">
      <selection activeCell="L9" sqref="L9"/>
    </sheetView>
  </sheetViews>
  <sheetFormatPr defaultColWidth="12.6328125" defaultRowHeight="15.75" customHeight="1" x14ac:dyDescent="0.25"/>
  <cols>
    <col min="4" max="4" width="19" bestFit="1" customWidth="1"/>
  </cols>
  <sheetData>
    <row r="1" spans="1:20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1">
        <v>26</v>
      </c>
      <c r="B2" s="2">
        <v>0.82</v>
      </c>
      <c r="C2" s="3">
        <f>COS((A2-26)*PI()/180)</f>
        <v>1</v>
      </c>
      <c r="D2" s="6">
        <f>C2^2</f>
        <v>1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75" customHeight="1" x14ac:dyDescent="0.25">
      <c r="A3" s="1">
        <v>36</v>
      </c>
      <c r="B3" s="2">
        <v>0.81699999999999995</v>
      </c>
      <c r="C3" s="3">
        <f t="shared" ref="C3:C15" si="0">COS((A3-26)*PI()/180)</f>
        <v>0.98480775301220802</v>
      </c>
      <c r="D3" s="6">
        <f t="shared" ref="D3:D15" si="1">C3^2</f>
        <v>0.9698463103929541</v>
      </c>
      <c r="F3" s="3"/>
    </row>
    <row r="4" spans="1:20" ht="15.75" customHeight="1" x14ac:dyDescent="0.25">
      <c r="A4" s="1">
        <v>46</v>
      </c>
      <c r="B4" s="2">
        <v>0.80200000000000005</v>
      </c>
      <c r="C4" s="3">
        <f t="shared" si="0"/>
        <v>0.93969262078590843</v>
      </c>
      <c r="D4" s="6">
        <f t="shared" si="1"/>
        <v>0.88302222155948906</v>
      </c>
      <c r="F4" s="3"/>
    </row>
    <row r="5" spans="1:20" ht="15.75" customHeight="1" x14ac:dyDescent="0.25">
      <c r="A5" s="1">
        <v>56</v>
      </c>
      <c r="B5" s="2">
        <v>0.77900000000000003</v>
      </c>
      <c r="C5" s="3">
        <f t="shared" si="0"/>
        <v>0.86602540378443871</v>
      </c>
      <c r="D5" s="6">
        <f t="shared" si="1"/>
        <v>0.75000000000000011</v>
      </c>
      <c r="F5" s="3"/>
    </row>
    <row r="6" spans="1:20" ht="15.75" customHeight="1" x14ac:dyDescent="0.25">
      <c r="A6" s="1">
        <v>66</v>
      </c>
      <c r="B6" s="2">
        <v>0.749</v>
      </c>
      <c r="C6" s="3">
        <f t="shared" si="0"/>
        <v>0.76604444311897801</v>
      </c>
      <c r="D6" s="6">
        <f t="shared" si="1"/>
        <v>0.58682408883346515</v>
      </c>
      <c r="F6" s="3"/>
    </row>
    <row r="7" spans="1:20" ht="15.75" customHeight="1" x14ac:dyDescent="0.25">
      <c r="A7" s="1">
        <v>76</v>
      </c>
      <c r="B7" s="2">
        <v>0.71399999999999997</v>
      </c>
      <c r="C7" s="3">
        <f t="shared" si="0"/>
        <v>0.64278760968653936</v>
      </c>
      <c r="D7" s="6">
        <f t="shared" si="1"/>
        <v>0.41317591116653485</v>
      </c>
      <c r="F7" s="3"/>
    </row>
    <row r="8" spans="1:20" ht="15.75" customHeight="1" x14ac:dyDescent="0.25">
      <c r="A8" s="1">
        <v>86</v>
      </c>
      <c r="B8" s="2">
        <v>0.68400000000000005</v>
      </c>
      <c r="C8" s="3">
        <f t="shared" si="0"/>
        <v>0.50000000000000011</v>
      </c>
      <c r="D8" s="6">
        <f t="shared" si="1"/>
        <v>0.25000000000000011</v>
      </c>
      <c r="F8" s="3"/>
    </row>
    <row r="9" spans="1:20" ht="15.75" customHeight="1" x14ac:dyDescent="0.25">
      <c r="A9" s="1">
        <v>96</v>
      </c>
      <c r="B9" s="2">
        <v>0.65400000000000003</v>
      </c>
      <c r="C9" s="3">
        <f t="shared" si="0"/>
        <v>0.34202014332566882</v>
      </c>
      <c r="D9" s="6">
        <f t="shared" si="1"/>
        <v>0.11697777844051105</v>
      </c>
      <c r="F9" s="3"/>
    </row>
    <row r="10" spans="1:20" ht="15.75" customHeight="1" x14ac:dyDescent="0.25">
      <c r="A10" s="1">
        <v>106</v>
      </c>
      <c r="B10" s="2">
        <v>0.63400000000000001</v>
      </c>
      <c r="C10" s="3">
        <f t="shared" si="0"/>
        <v>0.17364817766693041</v>
      </c>
      <c r="D10" s="6">
        <f t="shared" si="1"/>
        <v>3.0153689607045831E-2</v>
      </c>
      <c r="F10" s="3"/>
    </row>
    <row r="11" spans="1:20" ht="15.75" customHeight="1" x14ac:dyDescent="0.25">
      <c r="A11" s="1">
        <v>116</v>
      </c>
      <c r="B11" s="2">
        <v>0.626</v>
      </c>
      <c r="C11" s="3">
        <f t="shared" si="0"/>
        <v>6.1257422745431001E-17</v>
      </c>
      <c r="D11" s="6">
        <f t="shared" si="1"/>
        <v>3.7524718414124473E-33</v>
      </c>
      <c r="F11" s="3"/>
    </row>
    <row r="12" spans="1:20" ht="15.75" customHeight="1" x14ac:dyDescent="0.25">
      <c r="A12" s="1">
        <v>126</v>
      </c>
      <c r="B12" s="2">
        <v>0.629</v>
      </c>
      <c r="C12" s="3">
        <f t="shared" si="0"/>
        <v>-0.1736481776669303</v>
      </c>
      <c r="D12" s="6">
        <f t="shared" si="1"/>
        <v>3.0153689607045793E-2</v>
      </c>
      <c r="F12" s="3"/>
    </row>
    <row r="13" spans="1:20" ht="15.75" customHeight="1" x14ac:dyDescent="0.25">
      <c r="A13" s="1">
        <v>136</v>
      </c>
      <c r="B13" s="2">
        <v>0.64400000000000002</v>
      </c>
      <c r="C13" s="3">
        <f t="shared" si="0"/>
        <v>-0.34202014332566871</v>
      </c>
      <c r="D13" s="6">
        <f t="shared" si="1"/>
        <v>0.11697777844051097</v>
      </c>
      <c r="F13" s="3"/>
    </row>
    <row r="14" spans="1:20" ht="15.75" customHeight="1" x14ac:dyDescent="0.25">
      <c r="A14" s="1">
        <v>146</v>
      </c>
      <c r="B14" s="2">
        <v>0.66500000000000004</v>
      </c>
      <c r="C14" s="3">
        <f t="shared" si="0"/>
        <v>-0.49999999999999978</v>
      </c>
      <c r="D14" s="6">
        <f t="shared" si="1"/>
        <v>0.24999999999999978</v>
      </c>
      <c r="F14" s="3"/>
    </row>
    <row r="15" spans="1:20" ht="15.75" customHeight="1" x14ac:dyDescent="0.25">
      <c r="A15" s="1">
        <v>156</v>
      </c>
      <c r="B15" s="2">
        <v>0.69599999999999995</v>
      </c>
      <c r="C15" s="3">
        <f t="shared" si="0"/>
        <v>-0.64278760968653936</v>
      </c>
      <c r="D15" s="6">
        <f t="shared" si="1"/>
        <v>0.41317591116653485</v>
      </c>
      <c r="F15" s="3"/>
    </row>
    <row r="18" spans="1:14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5"/>
  <sheetViews>
    <sheetView workbookViewId="0">
      <selection activeCell="F17" sqref="F17"/>
    </sheetView>
  </sheetViews>
  <sheetFormatPr defaultColWidth="12.6328125" defaultRowHeight="15.75" customHeight="1" x14ac:dyDescent="0.25"/>
  <cols>
    <col min="4" max="4" width="19" bestFit="1" customWidth="1"/>
  </cols>
  <sheetData>
    <row r="1" spans="1:20" ht="15.7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1">
        <v>16</v>
      </c>
      <c r="B2" s="4">
        <v>2.08</v>
      </c>
      <c r="C2" s="3">
        <f>COS((A2-26)*PI()/180)</f>
        <v>0.98480775301220802</v>
      </c>
      <c r="D2" s="6">
        <f>C2^2</f>
        <v>0.9698463103929541</v>
      </c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.75" customHeight="1" x14ac:dyDescent="0.25">
      <c r="A3" s="1">
        <v>26</v>
      </c>
      <c r="B3" s="4">
        <v>2.13</v>
      </c>
      <c r="C3" s="3">
        <f t="shared" ref="C3:C15" si="0">COS((A3-26)*PI()/180)</f>
        <v>1</v>
      </c>
      <c r="D3" s="6">
        <f t="shared" ref="D3:D15" si="1">C3^2</f>
        <v>1</v>
      </c>
    </row>
    <row r="4" spans="1:20" ht="15.75" customHeight="1" x14ac:dyDescent="0.25">
      <c r="A4" s="1">
        <v>36</v>
      </c>
      <c r="B4" s="4">
        <v>2.08</v>
      </c>
      <c r="C4" s="3">
        <f t="shared" si="0"/>
        <v>0.98480775301220802</v>
      </c>
      <c r="D4" s="6">
        <f t="shared" si="1"/>
        <v>0.9698463103929541</v>
      </c>
    </row>
    <row r="5" spans="1:20" ht="15.75" customHeight="1" x14ac:dyDescent="0.25">
      <c r="A5" s="1">
        <v>46</v>
      </c>
      <c r="B5" s="4">
        <v>2.04</v>
      </c>
      <c r="C5" s="3">
        <f t="shared" si="0"/>
        <v>0.93969262078590843</v>
      </c>
      <c r="D5" s="6">
        <f t="shared" si="1"/>
        <v>0.88302222155948906</v>
      </c>
    </row>
    <row r="6" spans="1:20" ht="15.75" customHeight="1" x14ac:dyDescent="0.25">
      <c r="A6" s="1">
        <v>56</v>
      </c>
      <c r="B6" s="4">
        <v>1.91</v>
      </c>
      <c r="C6" s="3">
        <f t="shared" si="0"/>
        <v>0.86602540378443871</v>
      </c>
      <c r="D6" s="6">
        <f t="shared" si="1"/>
        <v>0.75000000000000011</v>
      </c>
    </row>
    <row r="7" spans="1:20" ht="15.75" customHeight="1" x14ac:dyDescent="0.25">
      <c r="A7" s="1">
        <v>66</v>
      </c>
      <c r="B7" s="4">
        <v>1.7</v>
      </c>
      <c r="C7" s="3">
        <f t="shared" si="0"/>
        <v>0.76604444311897801</v>
      </c>
      <c r="D7" s="6">
        <f t="shared" si="1"/>
        <v>0.58682408883346515</v>
      </c>
    </row>
    <row r="8" spans="1:20" ht="15.75" customHeight="1" x14ac:dyDescent="0.25">
      <c r="A8" s="1">
        <v>76</v>
      </c>
      <c r="B8" s="4">
        <v>1.57</v>
      </c>
      <c r="C8" s="3">
        <f t="shared" si="0"/>
        <v>0.64278760968653936</v>
      </c>
      <c r="D8" s="6">
        <f t="shared" si="1"/>
        <v>0.41317591116653485</v>
      </c>
    </row>
    <row r="9" spans="1:20" ht="15.75" customHeight="1" x14ac:dyDescent="0.25">
      <c r="A9" s="1">
        <v>86</v>
      </c>
      <c r="B9" s="4">
        <v>1.31</v>
      </c>
      <c r="C9" s="3">
        <f t="shared" si="0"/>
        <v>0.50000000000000011</v>
      </c>
      <c r="D9" s="6">
        <f t="shared" si="1"/>
        <v>0.25000000000000011</v>
      </c>
    </row>
    <row r="10" spans="1:20" ht="15.75" customHeight="1" x14ac:dyDescent="0.25">
      <c r="A10" s="1">
        <v>96</v>
      </c>
      <c r="B10" s="4">
        <v>1.21</v>
      </c>
      <c r="C10" s="3">
        <f t="shared" si="0"/>
        <v>0.34202014332566882</v>
      </c>
      <c r="D10" s="6">
        <f t="shared" si="1"/>
        <v>0.11697777844051105</v>
      </c>
    </row>
    <row r="11" spans="1:20" ht="15.75" customHeight="1" x14ac:dyDescent="0.25">
      <c r="A11" s="1">
        <v>106</v>
      </c>
      <c r="B11" s="4">
        <v>1.1100000000000001</v>
      </c>
      <c r="C11" s="3">
        <f t="shared" si="0"/>
        <v>0.17364817766693041</v>
      </c>
      <c r="D11" s="6">
        <f t="shared" si="1"/>
        <v>3.0153689607045831E-2</v>
      </c>
    </row>
    <row r="12" spans="1:20" ht="15.75" customHeight="1" x14ac:dyDescent="0.25">
      <c r="A12" s="1">
        <v>116</v>
      </c>
      <c r="B12" s="4">
        <v>1.05</v>
      </c>
      <c r="C12" s="3">
        <f t="shared" si="0"/>
        <v>6.1257422745431001E-17</v>
      </c>
      <c r="D12" s="6">
        <f t="shared" si="1"/>
        <v>3.7524718414124473E-33</v>
      </c>
    </row>
    <row r="13" spans="1:20" ht="15.75" customHeight="1" x14ac:dyDescent="0.25">
      <c r="A13" s="1">
        <v>126</v>
      </c>
      <c r="B13" s="4">
        <v>1.08</v>
      </c>
      <c r="C13" s="3">
        <f t="shared" si="0"/>
        <v>-0.1736481776669303</v>
      </c>
      <c r="D13" s="6">
        <f t="shared" si="1"/>
        <v>3.0153689607045793E-2</v>
      </c>
    </row>
    <row r="14" spans="1:20" ht="15.75" customHeight="1" x14ac:dyDescent="0.25">
      <c r="A14" s="1">
        <v>136</v>
      </c>
      <c r="B14" s="4">
        <v>1.1599999999999999</v>
      </c>
      <c r="C14" s="3">
        <f t="shared" si="0"/>
        <v>-0.34202014332566871</v>
      </c>
      <c r="D14" s="6">
        <f t="shared" si="1"/>
        <v>0.11697777844051097</v>
      </c>
    </row>
    <row r="15" spans="1:20" ht="15.75" customHeight="1" x14ac:dyDescent="0.25">
      <c r="A15" s="1">
        <v>146</v>
      </c>
      <c r="B15" s="4">
        <v>1.2</v>
      </c>
      <c r="C15" s="3">
        <f t="shared" si="0"/>
        <v>-0.49999999999999978</v>
      </c>
      <c r="D15" s="6">
        <f t="shared" si="1"/>
        <v>0.24999999999999978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5"/>
  <sheetViews>
    <sheetView workbookViewId="0">
      <selection sqref="A1:B1"/>
    </sheetView>
  </sheetViews>
  <sheetFormatPr defaultColWidth="12.6328125" defaultRowHeight="15.75" customHeight="1" x14ac:dyDescent="0.25"/>
  <cols>
    <col min="4" max="4" width="19" bestFit="1" customWidth="1"/>
  </cols>
  <sheetData>
    <row r="1" spans="1:20" ht="15.7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1">
        <v>16</v>
      </c>
      <c r="B2" s="4">
        <v>5.84</v>
      </c>
      <c r="C2" s="3">
        <f>COS((A2-26)*PI()/180)</f>
        <v>0.98480775301220802</v>
      </c>
      <c r="D2" s="6">
        <f>C2^2</f>
        <v>0.9698463103929541</v>
      </c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.75" customHeight="1" x14ac:dyDescent="0.25">
      <c r="A3" s="1">
        <v>26</v>
      </c>
      <c r="B3" s="4">
        <v>6.04</v>
      </c>
      <c r="C3" s="3">
        <f t="shared" ref="C3:C15" si="0">COS((A3-26)*PI()/180)</f>
        <v>1</v>
      </c>
      <c r="D3" s="6">
        <f t="shared" ref="D3:D15" si="1">C3^2</f>
        <v>1</v>
      </c>
    </row>
    <row r="4" spans="1:20" ht="15.75" customHeight="1" x14ac:dyDescent="0.25">
      <c r="A4" s="1">
        <v>36</v>
      </c>
      <c r="B4" s="4">
        <v>5.91</v>
      </c>
      <c r="C4" s="3">
        <f t="shared" si="0"/>
        <v>0.98480775301220802</v>
      </c>
      <c r="D4" s="6">
        <f t="shared" si="1"/>
        <v>0.9698463103929541</v>
      </c>
    </row>
    <row r="5" spans="1:20" ht="15.75" customHeight="1" x14ac:dyDescent="0.25">
      <c r="A5" s="1">
        <v>46</v>
      </c>
      <c r="B5" s="4">
        <v>5.55</v>
      </c>
      <c r="C5" s="3">
        <f t="shared" si="0"/>
        <v>0.93969262078590843</v>
      </c>
      <c r="D5" s="6">
        <f t="shared" si="1"/>
        <v>0.88302222155948906</v>
      </c>
    </row>
    <row r="6" spans="1:20" ht="15.75" customHeight="1" x14ac:dyDescent="0.25">
      <c r="A6" s="1">
        <v>56</v>
      </c>
      <c r="B6" s="4">
        <v>4.99</v>
      </c>
      <c r="C6" s="3">
        <f t="shared" si="0"/>
        <v>0.86602540378443871</v>
      </c>
      <c r="D6" s="6">
        <f t="shared" si="1"/>
        <v>0.75000000000000011</v>
      </c>
    </row>
    <row r="7" spans="1:20" ht="15.75" customHeight="1" x14ac:dyDescent="0.25">
      <c r="A7" s="1">
        <v>66</v>
      </c>
      <c r="B7" s="4">
        <v>4.2300000000000004</v>
      </c>
      <c r="C7" s="3">
        <f t="shared" si="0"/>
        <v>0.76604444311897801</v>
      </c>
      <c r="D7" s="6">
        <f t="shared" si="1"/>
        <v>0.58682408883346515</v>
      </c>
    </row>
    <row r="8" spans="1:20" ht="15.75" customHeight="1" x14ac:dyDescent="0.25">
      <c r="A8" s="1">
        <v>76</v>
      </c>
      <c r="B8" s="4">
        <v>3.47</v>
      </c>
      <c r="C8" s="3">
        <f t="shared" si="0"/>
        <v>0.64278760968653936</v>
      </c>
      <c r="D8" s="6">
        <f t="shared" si="1"/>
        <v>0.41317591116653485</v>
      </c>
    </row>
    <row r="9" spans="1:20" ht="15.75" customHeight="1" x14ac:dyDescent="0.25">
      <c r="A9" s="1">
        <v>86</v>
      </c>
      <c r="B9" s="4">
        <v>2.73</v>
      </c>
      <c r="C9" s="3">
        <f t="shared" si="0"/>
        <v>0.50000000000000011</v>
      </c>
      <c r="D9" s="6">
        <f t="shared" si="1"/>
        <v>0.25000000000000011</v>
      </c>
    </row>
    <row r="10" spans="1:20" ht="15.75" customHeight="1" x14ac:dyDescent="0.25">
      <c r="A10" s="1">
        <v>96</v>
      </c>
      <c r="B10" s="4">
        <v>2.0299999999999998</v>
      </c>
      <c r="C10" s="3">
        <f t="shared" si="0"/>
        <v>0.34202014332566882</v>
      </c>
      <c r="D10" s="6">
        <f t="shared" si="1"/>
        <v>0.11697777844051105</v>
      </c>
    </row>
    <row r="11" spans="1:20" ht="15.75" customHeight="1" x14ac:dyDescent="0.25">
      <c r="A11" s="1">
        <v>106</v>
      </c>
      <c r="B11" s="4">
        <v>1.58</v>
      </c>
      <c r="C11" s="3">
        <f t="shared" si="0"/>
        <v>0.17364817766693041</v>
      </c>
      <c r="D11" s="6">
        <f t="shared" si="1"/>
        <v>3.0153689607045831E-2</v>
      </c>
    </row>
    <row r="12" spans="1:20" ht="15.75" customHeight="1" x14ac:dyDescent="0.25">
      <c r="A12" s="1">
        <v>116</v>
      </c>
      <c r="B12" s="4">
        <v>1.37</v>
      </c>
      <c r="C12" s="3">
        <f t="shared" si="0"/>
        <v>6.1257422745431001E-17</v>
      </c>
      <c r="D12" s="6">
        <f t="shared" si="1"/>
        <v>3.7524718414124473E-33</v>
      </c>
    </row>
    <row r="13" spans="1:20" ht="15.75" customHeight="1" x14ac:dyDescent="0.25">
      <c r="A13" s="1">
        <v>126</v>
      </c>
      <c r="B13" s="4">
        <v>1.46</v>
      </c>
      <c r="C13" s="3">
        <f t="shared" si="0"/>
        <v>-0.1736481776669303</v>
      </c>
      <c r="D13" s="6">
        <f t="shared" si="1"/>
        <v>3.0153689607045793E-2</v>
      </c>
    </row>
    <row r="14" spans="1:20" ht="15.75" customHeight="1" x14ac:dyDescent="0.25">
      <c r="A14" s="1">
        <v>136</v>
      </c>
      <c r="B14" s="4">
        <v>1.84</v>
      </c>
      <c r="C14" s="3">
        <f t="shared" si="0"/>
        <v>-0.34202014332566871</v>
      </c>
      <c r="D14" s="6">
        <f t="shared" si="1"/>
        <v>0.11697777844051097</v>
      </c>
    </row>
    <row r="15" spans="1:20" ht="15.75" customHeight="1" x14ac:dyDescent="0.25">
      <c r="A15" s="1">
        <v>146</v>
      </c>
      <c r="B15" s="4">
        <v>2.44</v>
      </c>
      <c r="C15" s="3">
        <f t="shared" si="0"/>
        <v>-0.49999999999999978</v>
      </c>
      <c r="D15" s="6">
        <f t="shared" si="1"/>
        <v>0.24999999999999978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3332-6856-4095-9204-99019E0F0D93}">
  <dimension ref="A1:E2"/>
  <sheetViews>
    <sheetView tabSelected="1" workbookViewId="0">
      <selection activeCell="E2" sqref="E2"/>
    </sheetView>
  </sheetViews>
  <sheetFormatPr defaultRowHeight="12.5" x14ac:dyDescent="0.25"/>
  <sheetData>
    <row r="1" spans="1:5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</row>
    <row r="2" spans="1:5" x14ac:dyDescent="0.25">
      <c r="A2">
        <v>2.665</v>
      </c>
      <c r="B2" s="7">
        <v>1.54</v>
      </c>
      <c r="C2" s="8">
        <f>ACOS(B2/A2)*180/3.14159</f>
        <v>54.699797763082358</v>
      </c>
      <c r="D2">
        <v>56</v>
      </c>
      <c r="E2" s="9">
        <f>(C2-D2)/D2</f>
        <v>-2.3217897087815027E-2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C74-44AE-4BDC-ABF1-18BF6C3B3A4C}">
  <dimension ref="A1:D12"/>
  <sheetViews>
    <sheetView workbookViewId="0">
      <selection activeCell="D1" sqref="D1:O2"/>
    </sheetView>
  </sheetViews>
  <sheetFormatPr defaultRowHeight="12.5" x14ac:dyDescent="0.25"/>
  <sheetData>
    <row r="1" spans="1:4" x14ac:dyDescent="0.25">
      <c r="A1" s="1" t="s">
        <v>0</v>
      </c>
      <c r="B1" s="1" t="s">
        <v>2</v>
      </c>
      <c r="D1" s="1"/>
    </row>
    <row r="2" spans="1:4" x14ac:dyDescent="0.25">
      <c r="A2">
        <v>0</v>
      </c>
      <c r="B2">
        <v>0.40600000000000003</v>
      </c>
      <c r="D2" s="1"/>
    </row>
    <row r="3" spans="1:4" x14ac:dyDescent="0.25">
      <c r="A3">
        <v>20</v>
      </c>
      <c r="B3">
        <v>0.36099999999999999</v>
      </c>
    </row>
    <row r="4" spans="1:4" x14ac:dyDescent="0.25">
      <c r="A4">
        <v>40</v>
      </c>
      <c r="B4">
        <v>0.40300000000000002</v>
      </c>
    </row>
    <row r="5" spans="1:4" x14ac:dyDescent="0.25">
      <c r="A5">
        <v>60</v>
      </c>
      <c r="B5">
        <v>0.53100000000000003</v>
      </c>
    </row>
    <row r="6" spans="1:4" x14ac:dyDescent="0.25">
      <c r="A6">
        <v>80</v>
      </c>
      <c r="B6">
        <v>0.66400000000000003</v>
      </c>
    </row>
    <row r="7" spans="1:4" x14ac:dyDescent="0.25">
      <c r="A7">
        <v>100</v>
      </c>
      <c r="B7">
        <v>0.76</v>
      </c>
    </row>
    <row r="8" spans="1:4" x14ac:dyDescent="0.25">
      <c r="A8">
        <v>120</v>
      </c>
      <c r="B8">
        <v>0.752</v>
      </c>
    </row>
    <row r="9" spans="1:4" x14ac:dyDescent="0.25">
      <c r="A9">
        <v>140</v>
      </c>
      <c r="B9">
        <v>0.65900000000000003</v>
      </c>
    </row>
    <row r="10" spans="1:4" x14ac:dyDescent="0.25">
      <c r="A10">
        <v>160</v>
      </c>
      <c r="B10">
        <v>0.53800000000000003</v>
      </c>
    </row>
    <row r="11" spans="1:4" x14ac:dyDescent="0.25">
      <c r="A11">
        <v>180</v>
      </c>
      <c r="B11">
        <v>0.432</v>
      </c>
    </row>
    <row r="12" spans="1:4" x14ac:dyDescent="0.25">
      <c r="A12">
        <v>200</v>
      </c>
      <c r="B12">
        <v>0.38200000000000001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验证Malus定律（白光）</vt:lpstr>
      <vt:lpstr>验证Malus定律（绿光）</vt:lpstr>
      <vt:lpstr>验证Malus定律（红光）</vt:lpstr>
      <vt:lpstr>Brewater角的测量</vt:lpstr>
      <vt:lpstr>椭偏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舒云 杨</cp:lastModifiedBy>
  <dcterms:modified xsi:type="dcterms:W3CDTF">2024-04-24T16:06:59Z</dcterms:modified>
</cp:coreProperties>
</file>