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AEABDB95-4B80-44FD-B27B-0156F021EC9F}" xr6:coauthVersionLast="47" xr6:coauthVersionMax="47" xr10:uidLastSave="{00000000-0000-0000-0000-000000000000}"/>
  <bookViews>
    <workbookView xWindow="3580" yWindow="270" windowWidth="20540" windowHeight="13780" activeTab="4" xr2:uid="{00000000-000D-0000-FFFF-FFFF00000000}"/>
  </bookViews>
  <sheets>
    <sheet name="手记数据1" sheetId="1" r:id="rId1"/>
    <sheet name="手记数据2" sheetId="2" r:id="rId2"/>
    <sheet name="手记数据3" sheetId="3" r:id="rId3"/>
    <sheet name="T" sheetId="4" r:id="rId4"/>
    <sheet name="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0" i="5"/>
  <c r="B9" i="5"/>
  <c r="B8" i="5"/>
  <c r="B7" i="5"/>
  <c r="B6" i="5"/>
  <c r="B5" i="5"/>
  <c r="B4" i="5"/>
  <c r="B3" i="5"/>
  <c r="B2" i="5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<sst xmlns="http://schemas.openxmlformats.org/spreadsheetml/2006/main" count="15" uniqueCount="12">
  <si>
    <r>
      <rPr>
        <sz val="10"/>
        <color theme="1"/>
        <rFont val="宋体"/>
        <family val="2"/>
        <charset val="134"/>
      </rPr>
      <t>传感器</t>
    </r>
    <r>
      <rPr>
        <sz val="10"/>
        <color theme="1"/>
        <rFont val="微软雅黑"/>
        <family val="2"/>
        <charset val="134"/>
      </rPr>
      <t>输出电压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微伏</t>
    </r>
    <phoneticPr fontId="4" type="noConversion"/>
  </si>
  <si>
    <t>电源输出功率/瓦</t>
    <phoneticPr fontId="4" type="noConversion"/>
  </si>
  <si>
    <r>
      <rPr>
        <sz val="10"/>
        <color theme="1"/>
        <rFont val="微软雅黑"/>
        <family val="2"/>
        <charset val="134"/>
      </rPr>
      <t>距离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宋体"/>
        <family val="2"/>
        <charset val="134"/>
      </rPr>
      <t>毫米</t>
    </r>
    <phoneticPr fontId="4" type="noConversion"/>
  </si>
  <si>
    <r>
      <rPr>
        <sz val="10"/>
        <color theme="1"/>
        <rFont val="宋体"/>
        <family val="2"/>
        <charset val="134"/>
      </rPr>
      <t>设定</t>
    </r>
    <r>
      <rPr>
        <sz val="10"/>
        <color theme="1"/>
        <rFont val="微软雅黑"/>
        <family val="2"/>
        <charset val="134"/>
      </rPr>
      <t>温度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软雅黑"/>
        <family val="2"/>
        <charset val="134"/>
      </rPr>
      <t>摄氏度</t>
    </r>
    <phoneticPr fontId="4" type="noConversion"/>
  </si>
  <si>
    <t>类型</t>
    <phoneticPr fontId="4" type="noConversion"/>
  </si>
  <si>
    <t>光面</t>
    <phoneticPr fontId="4" type="noConversion"/>
  </si>
  <si>
    <t>粗糙面</t>
    <phoneticPr fontId="4" type="noConversion"/>
  </si>
  <si>
    <t>黑面</t>
    <phoneticPr fontId="4" type="noConversion"/>
  </si>
  <si>
    <t>表面温度</t>
  </si>
  <si>
    <t>辐射传感器电压/mV</t>
  </si>
  <si>
    <t>电源功率/W</t>
  </si>
  <si>
    <t>距离/mm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</si>
</sst>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charset val="134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宋体"/>
      <family val="2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1">
      <alignment vertical="center"/>
    </xf>
    <xf numFmtId="0" fontId="3" fillId="0" borderId="0" xfId="1">
      <alignment vertical="center"/>
    </xf>
    <xf numFmtId="181" fontId="0" fillId="0" borderId="0" xfId="0" applyNumberFormat="1"/>
    <xf numFmtId="181" fontId="2" fillId="0" borderId="0" xfId="0" applyNumberFormat="1" applyFont="1"/>
    <xf numFmtId="181" fontId="1" fillId="0" borderId="0" xfId="0" applyNumberFormat="1" applyFont="1"/>
  </cellXfs>
  <cellStyles count="2">
    <cellStyle name="常规" xfId="0" builtinId="0"/>
    <cellStyle name="常规 2" xfId="1" xr:uid="{664818D6-A126-4BDC-A1D0-523E36EFB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workbookViewId="0">
      <selection activeCell="A2" sqref="A2:C4"/>
    </sheetView>
  </sheetViews>
  <sheetFormatPr defaultColWidth="12.6328125" defaultRowHeight="15.75" customHeight="1"/>
  <sheetData>
    <row r="1" spans="1:3" ht="15.75" customHeight="1">
      <c r="A1" s="2" t="s">
        <v>3</v>
      </c>
      <c r="B1" s="2" t="s">
        <v>0</v>
      </c>
      <c r="C1" s="3" t="s">
        <v>1</v>
      </c>
    </row>
    <row r="2" spans="1:3" ht="15.75" customHeight="1">
      <c r="A2" s="1">
        <v>40</v>
      </c>
      <c r="B2" s="1">
        <v>79</v>
      </c>
      <c r="C2" s="4">
        <v>0.5</v>
      </c>
    </row>
    <row r="3" spans="1:3" ht="15.75" customHeight="1">
      <c r="A3" s="1">
        <v>50</v>
      </c>
      <c r="B3" s="1">
        <v>105</v>
      </c>
      <c r="C3" s="4">
        <v>0.9</v>
      </c>
    </row>
    <row r="4" spans="1:3" ht="15.75" customHeight="1">
      <c r="A4" s="1">
        <v>60</v>
      </c>
      <c r="B4" s="1">
        <v>131</v>
      </c>
      <c r="C4" s="4">
        <v>1.3</v>
      </c>
    </row>
    <row r="5" spans="1:3" ht="15.75" customHeight="1">
      <c r="A5" s="1">
        <v>70</v>
      </c>
      <c r="B5" s="1">
        <v>167</v>
      </c>
      <c r="C5" s="4">
        <v>1.7</v>
      </c>
    </row>
    <row r="6" spans="1:3" ht="15.75" customHeight="1">
      <c r="A6" s="1">
        <v>80</v>
      </c>
      <c r="B6" s="1">
        <v>200</v>
      </c>
      <c r="C6" s="4">
        <v>1.95</v>
      </c>
    </row>
    <row r="7" spans="1:3" ht="15.75" customHeight="1">
      <c r="A7" s="1">
        <v>90</v>
      </c>
      <c r="B7" s="1">
        <v>240</v>
      </c>
      <c r="C7" s="4">
        <v>2.25</v>
      </c>
    </row>
    <row r="8" spans="1:3" ht="15.75" customHeight="1">
      <c r="A8" s="1">
        <v>100</v>
      </c>
      <c r="B8" s="1">
        <v>283</v>
      </c>
      <c r="C8" s="4">
        <v>2.8</v>
      </c>
    </row>
    <row r="9" spans="1:3" ht="15.75" customHeight="1">
      <c r="A9" s="1">
        <v>110</v>
      </c>
      <c r="B9" s="1">
        <v>330</v>
      </c>
      <c r="C9" s="4">
        <v>3.1</v>
      </c>
    </row>
    <row r="10" spans="1:3" ht="15.75" customHeight="1">
      <c r="A10" s="1">
        <v>120</v>
      </c>
      <c r="B10" s="1">
        <v>369</v>
      </c>
      <c r="C10" s="4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"/>
  <sheetViews>
    <sheetView workbookViewId="0">
      <selection activeCell="B12" sqref="B12:B15"/>
    </sheetView>
  </sheetViews>
  <sheetFormatPr defaultColWidth="12.6328125" defaultRowHeight="15.75" customHeight="1"/>
  <sheetData>
    <row r="1" spans="1:2" ht="15.75" customHeight="1">
      <c r="A1" s="2" t="s">
        <v>2</v>
      </c>
      <c r="B1" s="2" t="s">
        <v>0</v>
      </c>
    </row>
    <row r="2" spans="1:2" ht="15.75" customHeight="1">
      <c r="A2" s="1">
        <v>120</v>
      </c>
      <c r="B2" s="1">
        <v>512</v>
      </c>
    </row>
    <row r="3" spans="1:2" ht="15.75" customHeight="1">
      <c r="A3" s="1">
        <v>130</v>
      </c>
      <c r="B3" s="1">
        <v>426</v>
      </c>
    </row>
    <row r="4" spans="1:2" ht="15.75" customHeight="1">
      <c r="A4" s="1">
        <v>140</v>
      </c>
      <c r="B4" s="1">
        <v>366</v>
      </c>
    </row>
    <row r="5" spans="1:2" ht="15.75" customHeight="1">
      <c r="A5" s="1">
        <v>150</v>
      </c>
      <c r="B5" s="1">
        <v>315</v>
      </c>
    </row>
    <row r="6" spans="1:2" ht="15.75" customHeight="1">
      <c r="A6" s="1">
        <v>160</v>
      </c>
      <c r="B6" s="1">
        <v>275</v>
      </c>
    </row>
    <row r="7" spans="1:2" ht="15.75" customHeight="1">
      <c r="A7" s="1">
        <v>170</v>
      </c>
      <c r="B7" s="1">
        <v>240</v>
      </c>
    </row>
    <row r="8" spans="1:2" ht="15.75" customHeight="1">
      <c r="A8" s="1">
        <v>180</v>
      </c>
      <c r="B8" s="1">
        <v>213</v>
      </c>
    </row>
    <row r="9" spans="1:2" ht="15.75" customHeight="1">
      <c r="A9" s="1">
        <v>190</v>
      </c>
      <c r="B9" s="1">
        <v>200</v>
      </c>
    </row>
    <row r="10" spans="1:2" ht="15.75" customHeight="1">
      <c r="A10" s="1">
        <v>200</v>
      </c>
      <c r="B10" s="1">
        <v>178</v>
      </c>
    </row>
    <row r="11" spans="1:2" ht="15.75" customHeight="1">
      <c r="A11" s="1">
        <v>210</v>
      </c>
      <c r="B11" s="1">
        <v>166</v>
      </c>
    </row>
    <row r="12" spans="1:2" ht="15.75" customHeight="1">
      <c r="A12" s="1">
        <v>220</v>
      </c>
      <c r="B12" s="1">
        <v>153</v>
      </c>
    </row>
    <row r="13" spans="1:2" ht="15.75" customHeight="1">
      <c r="A13" s="1">
        <v>230</v>
      </c>
      <c r="B13" s="1">
        <v>143</v>
      </c>
    </row>
    <row r="14" spans="1:2" ht="15.75" customHeight="1">
      <c r="A14" s="1">
        <v>240</v>
      </c>
      <c r="B14" s="1">
        <v>139</v>
      </c>
    </row>
    <row r="15" spans="1:2" ht="15.75" customHeight="1">
      <c r="A15" s="1">
        <v>250</v>
      </c>
      <c r="B15" s="1">
        <v>135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0C37-B68F-462D-ACA9-B908232012E8}">
  <dimension ref="A1:D2"/>
  <sheetViews>
    <sheetView workbookViewId="0">
      <selection activeCell="F12" sqref="F12"/>
    </sheetView>
  </sheetViews>
  <sheetFormatPr defaultRowHeight="12.5"/>
  <sheetData>
    <row r="1" spans="1:4">
      <c r="A1" s="5" t="s">
        <v>4</v>
      </c>
      <c r="B1" s="5" t="s">
        <v>5</v>
      </c>
      <c r="C1" s="5" t="s">
        <v>6</v>
      </c>
      <c r="D1" s="5" t="s">
        <v>7</v>
      </c>
    </row>
    <row r="2" spans="1:4" ht="14.5">
      <c r="A2" s="2" t="s">
        <v>0</v>
      </c>
      <c r="B2">
        <v>285</v>
      </c>
      <c r="C2">
        <v>313</v>
      </c>
      <c r="D2">
        <v>1030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641A-F749-4B55-A73D-C4ADAD225328}">
  <dimension ref="A1:C10"/>
  <sheetViews>
    <sheetView workbookViewId="0">
      <selection activeCell="D16" sqref="D16"/>
    </sheetView>
  </sheetViews>
  <sheetFormatPr defaultRowHeight="12.5"/>
  <sheetData>
    <row r="1" spans="1:3" ht="14">
      <c r="A1" s="6" t="s">
        <v>8</v>
      </c>
      <c r="B1" s="6" t="s">
        <v>9</v>
      </c>
      <c r="C1" s="6" t="s">
        <v>10</v>
      </c>
    </row>
    <row r="2" spans="1:3">
      <c r="A2" s="10">
        <v>40</v>
      </c>
      <c r="B2" s="10">
        <v>79</v>
      </c>
      <c r="C2" s="8">
        <v>0.5</v>
      </c>
    </row>
    <row r="3" spans="1:3">
      <c r="A3" s="10">
        <v>50</v>
      </c>
      <c r="B3" s="10">
        <v>105</v>
      </c>
      <c r="C3" s="8">
        <v>0.9</v>
      </c>
    </row>
    <row r="4" spans="1:3">
      <c r="A4" s="10">
        <v>60</v>
      </c>
      <c r="B4" s="10">
        <v>131</v>
      </c>
      <c r="C4" s="8">
        <v>1.3</v>
      </c>
    </row>
    <row r="5" spans="1:3">
      <c r="A5" s="8">
        <v>69.987019363636321</v>
      </c>
      <c r="B5" s="9">
        <f>0.000166015151515152*1000000</f>
        <v>166.01515151515201</v>
      </c>
      <c r="C5" s="8">
        <v>1.6805833333333335</v>
      </c>
    </row>
    <row r="6" spans="1:3">
      <c r="A6" s="8">
        <v>79.999411296874953</v>
      </c>
      <c r="B6" s="8">
        <f>0.00020109375*1000000</f>
        <v>201.09375</v>
      </c>
      <c r="C6" s="8">
        <v>1.9890703124999987</v>
      </c>
    </row>
    <row r="7" spans="1:3">
      <c r="A7" s="8">
        <v>89.9991352896552</v>
      </c>
      <c r="B7" s="8">
        <f>0.000239213793103448*1000000</f>
        <v>239.21379310344798</v>
      </c>
      <c r="C7" s="8">
        <v>2.3698689655172407</v>
      </c>
    </row>
    <row r="8" spans="1:3">
      <c r="A8" s="8">
        <v>99.991276757575761</v>
      </c>
      <c r="B8" s="8">
        <f>0.000280939393939394*1000000</f>
        <v>280.93939393939399</v>
      </c>
      <c r="C8" s="8">
        <v>2.8052424242424236</v>
      </c>
    </row>
    <row r="9" spans="1:3">
      <c r="A9" s="8">
        <v>109.99740597041425</v>
      </c>
      <c r="B9" s="8">
        <f>0.00032296449704142*1000000</f>
        <v>322.96449704141997</v>
      </c>
      <c r="C9" s="8">
        <v>3.1351479289940838</v>
      </c>
    </row>
    <row r="10" spans="1:3">
      <c r="A10" s="8">
        <v>119.99793402469135</v>
      </c>
      <c r="B10" s="8">
        <f>0.000371444444444445*1000000</f>
        <v>371.44444444444503</v>
      </c>
      <c r="C10" s="8">
        <v>3.5865185185185178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7793-ADDF-41D5-805B-829AD965AC09}">
  <dimension ref="A1:B15"/>
  <sheetViews>
    <sheetView tabSelected="1" workbookViewId="0">
      <selection activeCell="G10" sqref="G10"/>
    </sheetView>
  </sheetViews>
  <sheetFormatPr defaultRowHeight="12.5"/>
  <cols>
    <col min="2" max="2" width="9.81640625" bestFit="1" customWidth="1"/>
  </cols>
  <sheetData>
    <row r="1" spans="1:2" ht="14">
      <c r="A1" s="7" t="s">
        <v>11</v>
      </c>
      <c r="B1" s="7" t="s">
        <v>9</v>
      </c>
    </row>
    <row r="2" spans="1:2">
      <c r="A2">
        <v>120</v>
      </c>
      <c r="B2" s="8">
        <f>0.000512974683544303*1000000</f>
        <v>512.97468354430305</v>
      </c>
    </row>
    <row r="3" spans="1:2">
      <c r="A3">
        <v>130</v>
      </c>
      <c r="B3" s="8">
        <f>0.000428388888888889*1000000</f>
        <v>428.38888888888903</v>
      </c>
    </row>
    <row r="4" spans="1:2">
      <c r="A4">
        <v>140</v>
      </c>
      <c r="B4" s="8">
        <f>0.000365016806722689*1000000</f>
        <v>365.01680672268901</v>
      </c>
    </row>
    <row r="5" spans="1:2">
      <c r="A5">
        <v>150</v>
      </c>
      <c r="B5" s="8">
        <f>0.000312666666666667*1000000</f>
        <v>312.66666666666697</v>
      </c>
    </row>
    <row r="6" spans="1:2">
      <c r="A6">
        <v>160</v>
      </c>
      <c r="B6" s="8">
        <f>0.000273388888888889*1000000</f>
        <v>273.38888888888897</v>
      </c>
    </row>
    <row r="7" spans="1:2">
      <c r="A7">
        <v>170</v>
      </c>
      <c r="B7" s="8">
        <f>0.000240444444444444*1000000</f>
        <v>240.444444444444</v>
      </c>
    </row>
    <row r="8" spans="1:2">
      <c r="A8">
        <v>180</v>
      </c>
      <c r="B8" s="8">
        <f>0.000215666666666667*1000000</f>
        <v>215.666666666667</v>
      </c>
    </row>
    <row r="9" spans="1:2">
      <c r="A9">
        <v>190</v>
      </c>
      <c r="B9" s="8">
        <f>0.000195315789473684*1000000</f>
        <v>195.31578947368402</v>
      </c>
    </row>
    <row r="10" spans="1:2">
      <c r="A10">
        <v>200</v>
      </c>
      <c r="B10" s="8">
        <f>0.000178*1000000</f>
        <v>178</v>
      </c>
    </row>
    <row r="11" spans="1:2">
      <c r="A11">
        <v>210</v>
      </c>
      <c r="B11" s="8">
        <f>0.000164459459459459*1000000</f>
        <v>164.459459459459</v>
      </c>
    </row>
    <row r="12" spans="1:2">
      <c r="A12">
        <v>220</v>
      </c>
      <c r="B12" s="8">
        <v>153</v>
      </c>
    </row>
    <row r="13" spans="1:2">
      <c r="A13">
        <v>230</v>
      </c>
      <c r="B13" s="8">
        <v>143</v>
      </c>
    </row>
    <row r="14" spans="1:2">
      <c r="A14">
        <v>240</v>
      </c>
      <c r="B14" s="8">
        <v>139</v>
      </c>
    </row>
    <row r="15" spans="1:2">
      <c r="A15">
        <v>250</v>
      </c>
      <c r="B15" s="8">
        <v>135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手记数据1</vt:lpstr>
      <vt:lpstr>手记数据2</vt:lpstr>
      <vt:lpstr>手记数据3</vt:lpstr>
      <vt:lpstr>T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舒云 杨</cp:lastModifiedBy>
  <dcterms:modified xsi:type="dcterms:W3CDTF">2024-05-02T06:36:14Z</dcterms:modified>
</cp:coreProperties>
</file>