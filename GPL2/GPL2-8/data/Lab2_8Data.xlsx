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531"/>
  <workbookPr/>
  <mc:AlternateContent xmlns:mc="http://schemas.openxmlformats.org/markup-compatibility/2006">
    <mc:Choice Requires="x15">
      <x15ac:absPath xmlns:x15ac="http://schemas.microsoft.com/office/spreadsheetml/2010/11/ac" url="D:\5\5_WorkSpace\LabR\Lab2_8Report\"/>
    </mc:Choice>
  </mc:AlternateContent>
  <xr:revisionPtr revIDLastSave="0" documentId="13_ncr:1_{9DDE564A-8424-40AA-82FA-01EF63EA22FC}" xr6:coauthVersionLast="47" xr6:coauthVersionMax="47" xr10:uidLastSave="{00000000-0000-0000-0000-000000000000}"/>
  <bookViews>
    <workbookView xWindow="4600" yWindow="1290" windowWidth="20540" windowHeight="13780" activeTab="1" xr2:uid="{00000000-000D-0000-FFFF-FFFF00000000}"/>
  </bookViews>
  <sheets>
    <sheet name="手测" sheetId="1" r:id="rId1"/>
    <sheet name="峰谷距离计算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16" i="2" l="1"/>
  <c r="D16" i="2"/>
  <c r="B16" i="2"/>
  <c r="C15" i="2"/>
  <c r="D15" i="2"/>
  <c r="B15" i="2"/>
  <c r="C10" i="2"/>
  <c r="D10" i="2"/>
  <c r="E10" i="2"/>
  <c r="F10" i="2"/>
  <c r="G10" i="2"/>
  <c r="B10" i="2"/>
  <c r="G9" i="2"/>
  <c r="F9" i="2"/>
  <c r="E9" i="2"/>
  <c r="D9" i="2"/>
  <c r="C9" i="2"/>
  <c r="B9" i="2"/>
  <c r="G8" i="2"/>
  <c r="F8" i="2"/>
  <c r="E8" i="2"/>
  <c r="D8" i="2"/>
  <c r="B8" i="2"/>
  <c r="C8" i="2"/>
  <c r="A43" i="1"/>
  <c r="A44" i="1" s="1"/>
  <c r="A45" i="1" s="1"/>
  <c r="A46" i="1" s="1"/>
  <c r="A47" i="1" s="1"/>
  <c r="A48" i="1" s="1"/>
  <c r="A49" i="1" s="1"/>
  <c r="A50" i="1" s="1"/>
  <c r="A51" i="1" s="1"/>
  <c r="A52" i="1" s="1"/>
  <c r="A53" i="1" s="1"/>
  <c r="A54" i="1" s="1"/>
  <c r="A55" i="1" s="1"/>
  <c r="A56" i="1" s="1"/>
  <c r="A57" i="1" s="1"/>
  <c r="A58" i="1" s="1"/>
  <c r="A59" i="1" s="1"/>
  <c r="A60" i="1" s="1"/>
  <c r="A61" i="1" s="1"/>
  <c r="A62" i="1" s="1"/>
  <c r="A63" i="1" s="1"/>
  <c r="A64" i="1" s="1"/>
  <c r="A65" i="1" s="1"/>
  <c r="A66" i="1" s="1"/>
  <c r="A67" i="1" s="1"/>
  <c r="A68" i="1" s="1"/>
  <c r="A69" i="1" s="1"/>
  <c r="A70" i="1" s="1"/>
  <c r="A71" i="1" s="1"/>
  <c r="A72" i="1" s="1"/>
  <c r="A73" i="1" s="1"/>
  <c r="A74" i="1" s="1"/>
  <c r="A75" i="1" s="1"/>
  <c r="A76" i="1" s="1"/>
  <c r="A77" i="1" s="1"/>
  <c r="A78" i="1" s="1"/>
  <c r="A79" i="1" s="1"/>
  <c r="A80" i="1" s="1"/>
  <c r="A81" i="1" s="1"/>
  <c r="A82" i="1" s="1"/>
  <c r="A83" i="1" s="1"/>
  <c r="A84" i="1" s="1"/>
  <c r="A85" i="1" s="1"/>
  <c r="A86" i="1" s="1"/>
  <c r="A87" i="1" s="1"/>
  <c r="A88" i="1" s="1"/>
  <c r="A89" i="1" s="1"/>
  <c r="A90" i="1" s="1"/>
  <c r="A91" i="1" s="1"/>
  <c r="A92" i="1" s="1"/>
  <c r="A93" i="1" s="1"/>
  <c r="A94" i="1" s="1"/>
  <c r="A95" i="1" s="1"/>
  <c r="A96" i="1" s="1"/>
  <c r="A97" i="1" s="1"/>
  <c r="A98" i="1" s="1"/>
  <c r="A99" i="1" s="1"/>
  <c r="A100" i="1" s="1"/>
  <c r="A101" i="1" s="1"/>
  <c r="A102" i="1" s="1"/>
  <c r="A103" i="1" s="1"/>
  <c r="A104" i="1" s="1"/>
  <c r="A105" i="1" s="1"/>
  <c r="A106" i="1" s="1"/>
  <c r="A107" i="1" s="1"/>
  <c r="A108" i="1" s="1"/>
  <c r="A109" i="1" s="1"/>
  <c r="A110" i="1" s="1"/>
  <c r="A111" i="1" s="1"/>
  <c r="A112" i="1" s="1"/>
  <c r="A113" i="1" s="1"/>
  <c r="A114" i="1" s="1"/>
  <c r="A115" i="1" s="1"/>
  <c r="A116" i="1" s="1"/>
  <c r="A117" i="1" s="1"/>
  <c r="A118" i="1" s="1"/>
  <c r="A119" i="1" s="1"/>
  <c r="A120" i="1" s="1"/>
  <c r="A121" i="1" s="1"/>
  <c r="A122" i="1" s="1"/>
  <c r="A123" i="1" s="1"/>
  <c r="A124" i="1" s="1"/>
  <c r="A125" i="1" s="1"/>
  <c r="A126" i="1" s="1"/>
  <c r="A127" i="1" s="1"/>
  <c r="A128" i="1" s="1"/>
  <c r="A129" i="1" s="1"/>
  <c r="A130" i="1" s="1"/>
  <c r="A131" i="1" s="1"/>
</calcChain>
</file>

<file path=xl/sharedStrings.xml><?xml version="1.0" encoding="utf-8"?>
<sst xmlns="http://schemas.openxmlformats.org/spreadsheetml/2006/main" count="32" uniqueCount="23">
  <si>
    <t>VG2K/V</t>
  </si>
  <si>
    <t>IP/10^-11A</t>
  </si>
  <si>
    <t>ppd/V</t>
    <phoneticPr fontId="3" type="noConversion"/>
  </si>
  <si>
    <t>vvd/V</t>
    <phoneticPr fontId="3" type="noConversion"/>
  </si>
  <si>
    <t>$V_L=2V$ (30s)</t>
  </si>
  <si>
    <t>$V_L=2V$ (30s)</t>
    <phoneticPr fontId="3" type="noConversion"/>
  </si>
  <si>
    <t>nan</t>
    <phoneticPr fontId="3" type="noConversion"/>
  </si>
  <si>
    <t>$V_L=2V$ (By Hand)</t>
  </si>
  <si>
    <t>$V_L=2V$ (By Hand)</t>
    <phoneticPr fontId="3" type="noConversion"/>
  </si>
  <si>
    <t>$V_L=2V$</t>
  </si>
  <si>
    <t>$V_L=2V$</t>
    <phoneticPr fontId="3" type="noConversion"/>
  </si>
  <si>
    <t>测量条件</t>
    <phoneticPr fontId="3" type="noConversion"/>
  </si>
  <si>
    <t>测量量</t>
    <phoneticPr fontId="3" type="noConversion"/>
  </si>
  <si>
    <t>d2-d1</t>
    <phoneticPr fontId="3" type="noConversion"/>
  </si>
  <si>
    <t>d3-d2</t>
    <phoneticPr fontId="3" type="noConversion"/>
  </si>
  <si>
    <t>d4-d3</t>
    <phoneticPr fontId="3" type="noConversion"/>
  </si>
  <si>
    <t>d5-d4</t>
    <phoneticPr fontId="3" type="noConversion"/>
  </si>
  <si>
    <t>d6-d5</t>
    <phoneticPr fontId="3" type="noConversion"/>
  </si>
  <si>
    <t>均值</t>
    <phoneticPr fontId="3" type="noConversion"/>
  </si>
  <si>
    <t>实验标准差</t>
    <phoneticPr fontId="3" type="noConversion"/>
  </si>
  <si>
    <t>相对误差</t>
    <phoneticPr fontId="3" type="noConversion"/>
  </si>
  <si>
    <t>ave_ppd/V</t>
    <phoneticPr fontId="3" type="noConversion"/>
  </si>
  <si>
    <t>ave_vvd/V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</si>
</sst>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80" formatCode="0.0"/>
  </numFmts>
  <fonts count="4" x14ac:knownFonts="1">
    <font>
      <sz val="10"/>
      <color rgb="FF000000"/>
      <name val="Arial"/>
      <scheme val="minor"/>
    </font>
    <font>
      <sz val="10"/>
      <color theme="1"/>
      <name val="Arial"/>
      <family val="2"/>
      <scheme val="minor"/>
    </font>
    <font>
      <sz val="10"/>
      <color rgb="FF000000"/>
      <name val="Arial"/>
      <family val="2"/>
      <scheme val="minor"/>
    </font>
    <font>
      <sz val="9"/>
      <name val="Arial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9" fontId="2" fillId="0" borderId="0" applyFont="0" applyFill="0" applyBorder="0" applyAlignment="0" applyProtection="0">
      <alignment vertical="center"/>
    </xf>
  </cellStyleXfs>
  <cellXfs count="10">
    <xf numFmtId="0" fontId="0" fillId="0" borderId="0" xfId="0"/>
    <xf numFmtId="0" fontId="1" fillId="0" borderId="0" xfId="0" applyFont="1"/>
    <xf numFmtId="0" fontId="2" fillId="0" borderId="0" xfId="0" applyFont="1"/>
    <xf numFmtId="0" fontId="0" fillId="0" borderId="0" xfId="0" applyAlignment="1">
      <alignment horizontal="center"/>
    </xf>
    <xf numFmtId="0" fontId="2" fillId="0" borderId="0" xfId="0" applyFont="1" applyAlignment="1">
      <alignment horizontal="center"/>
    </xf>
    <xf numFmtId="180" fontId="0" fillId="0" borderId="0" xfId="0" applyNumberFormat="1"/>
    <xf numFmtId="180" fontId="2" fillId="0" borderId="0" xfId="0" applyNumberFormat="1" applyFont="1"/>
    <xf numFmtId="0" fontId="2" fillId="0" borderId="0" xfId="0" applyFont="1" applyAlignment="1"/>
    <xf numFmtId="2" fontId="0" fillId="0" borderId="0" xfId="0" applyNumberFormat="1"/>
    <xf numFmtId="10" fontId="0" fillId="0" borderId="0" xfId="1" applyNumberFormat="1" applyFont="1" applyAlignment="1"/>
  </cellXfs>
  <cellStyles count="2">
    <cellStyle name="百分比" xfId="1" builtinId="5"/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B131"/>
  <sheetViews>
    <sheetView workbookViewId="0"/>
  </sheetViews>
  <sheetFormatPr defaultColWidth="12.6328125" defaultRowHeight="15.75" customHeight="1" x14ac:dyDescent="0.25"/>
  <sheetData>
    <row r="1" spans="1:2" ht="15.75" customHeight="1" x14ac:dyDescent="0.25">
      <c r="A1" s="1" t="s">
        <v>0</v>
      </c>
      <c r="B1" s="1" t="s">
        <v>1</v>
      </c>
    </row>
    <row r="2" spans="1:2" ht="15.75" customHeight="1" x14ac:dyDescent="0.25">
      <c r="A2" s="1">
        <v>1</v>
      </c>
      <c r="B2" s="1">
        <v>0</v>
      </c>
    </row>
    <row r="3" spans="1:2" ht="15.75" customHeight="1" x14ac:dyDescent="0.25">
      <c r="A3" s="1">
        <v>2</v>
      </c>
      <c r="B3" s="1">
        <v>0</v>
      </c>
    </row>
    <row r="4" spans="1:2" ht="15.75" customHeight="1" x14ac:dyDescent="0.25">
      <c r="A4" s="1">
        <v>3</v>
      </c>
      <c r="B4" s="1">
        <v>0</v>
      </c>
    </row>
    <row r="5" spans="1:2" ht="15.75" customHeight="1" x14ac:dyDescent="0.25">
      <c r="A5" s="1">
        <v>4</v>
      </c>
      <c r="B5" s="1">
        <v>0</v>
      </c>
    </row>
    <row r="6" spans="1:2" ht="15.75" customHeight="1" x14ac:dyDescent="0.25">
      <c r="A6" s="1">
        <v>5</v>
      </c>
      <c r="B6" s="1">
        <v>0</v>
      </c>
    </row>
    <row r="7" spans="1:2" ht="15.75" customHeight="1" x14ac:dyDescent="0.25">
      <c r="A7" s="1">
        <v>6</v>
      </c>
      <c r="B7" s="1">
        <v>0</v>
      </c>
    </row>
    <row r="8" spans="1:2" ht="15.75" customHeight="1" x14ac:dyDescent="0.25">
      <c r="A8" s="1">
        <v>7</v>
      </c>
      <c r="B8" s="1">
        <v>0</v>
      </c>
    </row>
    <row r="9" spans="1:2" ht="15.75" customHeight="1" x14ac:dyDescent="0.25">
      <c r="A9" s="1">
        <v>8</v>
      </c>
      <c r="B9" s="1">
        <v>0</v>
      </c>
    </row>
    <row r="10" spans="1:2" ht="15.75" customHeight="1" x14ac:dyDescent="0.25">
      <c r="A10" s="1">
        <v>9</v>
      </c>
      <c r="B10" s="1">
        <v>0</v>
      </c>
    </row>
    <row r="11" spans="1:2" ht="15.75" customHeight="1" x14ac:dyDescent="0.25">
      <c r="A11" s="1">
        <v>10</v>
      </c>
      <c r="B11" s="1">
        <v>0.9</v>
      </c>
    </row>
    <row r="12" spans="1:2" ht="15.75" customHeight="1" x14ac:dyDescent="0.25">
      <c r="A12" s="1">
        <v>11</v>
      </c>
      <c r="B12" s="1">
        <v>4</v>
      </c>
    </row>
    <row r="13" spans="1:2" ht="15.75" customHeight="1" x14ac:dyDescent="0.25">
      <c r="A13" s="1">
        <v>12</v>
      </c>
      <c r="B13" s="1">
        <v>11</v>
      </c>
    </row>
    <row r="14" spans="1:2" ht="15.75" customHeight="1" x14ac:dyDescent="0.25">
      <c r="A14" s="1">
        <v>13</v>
      </c>
      <c r="B14" s="1">
        <v>20</v>
      </c>
    </row>
    <row r="15" spans="1:2" ht="15.75" customHeight="1" x14ac:dyDescent="0.25">
      <c r="A15" s="1">
        <v>14</v>
      </c>
      <c r="B15" s="1">
        <v>28</v>
      </c>
    </row>
    <row r="16" spans="1:2" ht="15.75" customHeight="1" x14ac:dyDescent="0.25">
      <c r="A16" s="1">
        <v>15</v>
      </c>
      <c r="B16" s="1">
        <v>35</v>
      </c>
    </row>
    <row r="17" spans="1:2" ht="15.75" customHeight="1" x14ac:dyDescent="0.25">
      <c r="A17" s="1">
        <v>16</v>
      </c>
      <c r="B17" s="1">
        <v>41</v>
      </c>
    </row>
    <row r="18" spans="1:2" ht="15.75" customHeight="1" x14ac:dyDescent="0.25">
      <c r="A18" s="1">
        <v>17</v>
      </c>
      <c r="B18" s="1">
        <v>46</v>
      </c>
    </row>
    <row r="19" spans="1:2" ht="15.75" customHeight="1" x14ac:dyDescent="0.25">
      <c r="A19" s="1">
        <v>18</v>
      </c>
      <c r="B19" s="1">
        <v>49</v>
      </c>
    </row>
    <row r="20" spans="1:2" ht="15.75" customHeight="1" x14ac:dyDescent="0.25">
      <c r="A20" s="1">
        <v>19</v>
      </c>
      <c r="B20" s="1">
        <v>51</v>
      </c>
    </row>
    <row r="21" spans="1:2" ht="15.75" customHeight="1" x14ac:dyDescent="0.25">
      <c r="A21" s="1">
        <v>20</v>
      </c>
      <c r="B21" s="1">
        <v>49</v>
      </c>
    </row>
    <row r="22" spans="1:2" ht="15.75" customHeight="1" x14ac:dyDescent="0.25">
      <c r="A22" s="1">
        <v>21</v>
      </c>
      <c r="B22" s="1">
        <v>45</v>
      </c>
    </row>
    <row r="23" spans="1:2" ht="15.75" customHeight="1" x14ac:dyDescent="0.25">
      <c r="A23" s="1">
        <v>22</v>
      </c>
      <c r="B23" s="1">
        <v>40</v>
      </c>
    </row>
    <row r="24" spans="1:2" ht="15.75" customHeight="1" x14ac:dyDescent="0.25">
      <c r="A24" s="1">
        <v>23</v>
      </c>
      <c r="B24" s="1">
        <v>34</v>
      </c>
    </row>
    <row r="25" spans="1:2" ht="15.75" customHeight="1" x14ac:dyDescent="0.25">
      <c r="A25" s="1">
        <v>24</v>
      </c>
      <c r="B25" s="1">
        <v>31</v>
      </c>
    </row>
    <row r="26" spans="1:2" ht="15.75" customHeight="1" x14ac:dyDescent="0.25">
      <c r="A26" s="1">
        <v>25</v>
      </c>
      <c r="B26" s="1">
        <v>35</v>
      </c>
    </row>
    <row r="27" spans="1:2" ht="15.75" customHeight="1" x14ac:dyDescent="0.25">
      <c r="A27" s="1">
        <v>26</v>
      </c>
      <c r="B27" s="1">
        <v>45</v>
      </c>
    </row>
    <row r="28" spans="1:2" ht="15.75" customHeight="1" x14ac:dyDescent="0.25">
      <c r="A28" s="1">
        <v>27</v>
      </c>
      <c r="B28" s="1">
        <v>57</v>
      </c>
    </row>
    <row r="29" spans="1:2" ht="15.75" customHeight="1" x14ac:dyDescent="0.25">
      <c r="A29" s="1">
        <v>28</v>
      </c>
      <c r="B29" s="1">
        <v>68</v>
      </c>
    </row>
    <row r="30" spans="1:2" ht="12.5" x14ac:dyDescent="0.25">
      <c r="A30" s="1">
        <v>29</v>
      </c>
      <c r="B30" s="1">
        <v>75</v>
      </c>
    </row>
    <row r="31" spans="1:2" ht="12.5" x14ac:dyDescent="0.25">
      <c r="A31" s="1">
        <v>30</v>
      </c>
      <c r="B31" s="1">
        <v>78</v>
      </c>
    </row>
    <row r="32" spans="1:2" ht="12.5" x14ac:dyDescent="0.25">
      <c r="A32" s="1">
        <v>31</v>
      </c>
      <c r="B32" s="1">
        <v>75</v>
      </c>
    </row>
    <row r="33" spans="1:2" ht="12.5" x14ac:dyDescent="0.25">
      <c r="A33" s="1">
        <v>32</v>
      </c>
      <c r="B33" s="1">
        <v>67</v>
      </c>
    </row>
    <row r="34" spans="1:2" ht="12.5" x14ac:dyDescent="0.25">
      <c r="A34" s="1">
        <v>33</v>
      </c>
      <c r="B34" s="1">
        <v>55</v>
      </c>
    </row>
    <row r="35" spans="1:2" ht="12.5" x14ac:dyDescent="0.25">
      <c r="A35" s="1">
        <v>34</v>
      </c>
      <c r="B35" s="1">
        <v>41</v>
      </c>
    </row>
    <row r="36" spans="1:2" ht="12.5" x14ac:dyDescent="0.25">
      <c r="A36" s="1">
        <v>35</v>
      </c>
      <c r="B36" s="1">
        <v>30</v>
      </c>
    </row>
    <row r="37" spans="1:2" ht="12.5" x14ac:dyDescent="0.25">
      <c r="A37" s="1">
        <v>36</v>
      </c>
      <c r="B37" s="1">
        <v>29</v>
      </c>
    </row>
    <row r="38" spans="1:2" ht="12.5" x14ac:dyDescent="0.25">
      <c r="A38" s="1">
        <v>37</v>
      </c>
      <c r="B38" s="1">
        <v>41</v>
      </c>
    </row>
    <row r="39" spans="1:2" ht="12.5" x14ac:dyDescent="0.25">
      <c r="A39" s="1">
        <v>38</v>
      </c>
      <c r="B39" s="1">
        <v>66</v>
      </c>
    </row>
    <row r="40" spans="1:2" ht="12.5" x14ac:dyDescent="0.25">
      <c r="A40" s="1">
        <v>39</v>
      </c>
      <c r="B40" s="1">
        <v>92</v>
      </c>
    </row>
    <row r="41" spans="1:2" ht="12.5" x14ac:dyDescent="0.25">
      <c r="A41" s="1">
        <v>40</v>
      </c>
      <c r="B41" s="1">
        <v>111</v>
      </c>
    </row>
    <row r="42" spans="1:2" ht="12.5" x14ac:dyDescent="0.25">
      <c r="A42" s="1">
        <v>40.5</v>
      </c>
      <c r="B42" s="1">
        <v>137</v>
      </c>
    </row>
    <row r="43" spans="1:2" ht="12.5" x14ac:dyDescent="0.25">
      <c r="A43" s="1">
        <f t="shared" ref="A43:A131" si="0">A42+0.5</f>
        <v>41</v>
      </c>
      <c r="B43" s="1">
        <v>143</v>
      </c>
    </row>
    <row r="44" spans="1:2" ht="12.5" x14ac:dyDescent="0.25">
      <c r="A44" s="1">
        <f t="shared" si="0"/>
        <v>41.5</v>
      </c>
      <c r="B44" s="1">
        <v>146</v>
      </c>
    </row>
    <row r="45" spans="1:2" ht="12.5" x14ac:dyDescent="0.25">
      <c r="A45" s="1">
        <f t="shared" si="0"/>
        <v>42</v>
      </c>
      <c r="B45" s="1">
        <v>144</v>
      </c>
    </row>
    <row r="46" spans="1:2" ht="12.5" x14ac:dyDescent="0.25">
      <c r="A46" s="1">
        <f t="shared" si="0"/>
        <v>42.5</v>
      </c>
      <c r="B46" s="1">
        <v>142</v>
      </c>
    </row>
    <row r="47" spans="1:2" ht="12.5" x14ac:dyDescent="0.25">
      <c r="A47" s="1">
        <f t="shared" si="0"/>
        <v>43</v>
      </c>
      <c r="B47" s="1">
        <v>137</v>
      </c>
    </row>
    <row r="48" spans="1:2" ht="12.5" x14ac:dyDescent="0.25">
      <c r="A48" s="1">
        <f t="shared" si="0"/>
        <v>43.5</v>
      </c>
      <c r="B48" s="1">
        <v>127</v>
      </c>
    </row>
    <row r="49" spans="1:2" ht="12.5" x14ac:dyDescent="0.25">
      <c r="A49" s="1">
        <f t="shared" si="0"/>
        <v>44</v>
      </c>
      <c r="B49" s="1">
        <v>116</v>
      </c>
    </row>
    <row r="50" spans="1:2" ht="12.5" x14ac:dyDescent="0.25">
      <c r="A50" s="1">
        <f t="shared" si="0"/>
        <v>44.5</v>
      </c>
      <c r="B50" s="1">
        <v>103</v>
      </c>
    </row>
    <row r="51" spans="1:2" ht="12.5" x14ac:dyDescent="0.25">
      <c r="A51" s="1">
        <f t="shared" si="0"/>
        <v>45</v>
      </c>
      <c r="B51" s="1">
        <v>90</v>
      </c>
    </row>
    <row r="52" spans="1:2" ht="12.5" x14ac:dyDescent="0.25">
      <c r="A52" s="1">
        <f t="shared" si="0"/>
        <v>45.5</v>
      </c>
      <c r="B52" s="1">
        <v>76</v>
      </c>
    </row>
    <row r="53" spans="1:2" ht="12.5" x14ac:dyDescent="0.25">
      <c r="A53" s="1">
        <f t="shared" si="0"/>
        <v>46</v>
      </c>
      <c r="B53" s="1">
        <v>62</v>
      </c>
    </row>
    <row r="54" spans="1:2" ht="12.5" x14ac:dyDescent="0.25">
      <c r="A54" s="1">
        <f t="shared" si="0"/>
        <v>46.5</v>
      </c>
      <c r="B54" s="1">
        <v>50</v>
      </c>
    </row>
    <row r="55" spans="1:2" ht="12.5" x14ac:dyDescent="0.25">
      <c r="A55" s="1">
        <f t="shared" si="0"/>
        <v>47</v>
      </c>
      <c r="B55" s="1">
        <v>42</v>
      </c>
    </row>
    <row r="56" spans="1:2" ht="12.5" x14ac:dyDescent="0.25">
      <c r="A56" s="1">
        <f t="shared" si="0"/>
        <v>47.5</v>
      </c>
      <c r="B56" s="1">
        <v>40</v>
      </c>
    </row>
    <row r="57" spans="1:2" ht="12.5" x14ac:dyDescent="0.25">
      <c r="A57" s="1">
        <f t="shared" si="0"/>
        <v>48</v>
      </c>
      <c r="B57" s="1">
        <v>47</v>
      </c>
    </row>
    <row r="58" spans="1:2" ht="12.5" x14ac:dyDescent="0.25">
      <c r="A58" s="1">
        <f t="shared" si="0"/>
        <v>48.5</v>
      </c>
      <c r="B58" s="1">
        <v>63</v>
      </c>
    </row>
    <row r="59" spans="1:2" ht="12.5" x14ac:dyDescent="0.25">
      <c r="A59" s="1">
        <f t="shared" si="0"/>
        <v>49</v>
      </c>
      <c r="B59" s="1">
        <v>88</v>
      </c>
    </row>
    <row r="60" spans="1:2" ht="12.5" x14ac:dyDescent="0.25">
      <c r="A60" s="1">
        <f t="shared" si="0"/>
        <v>49.5</v>
      </c>
      <c r="B60" s="1">
        <v>118</v>
      </c>
    </row>
    <row r="61" spans="1:2" ht="12.5" x14ac:dyDescent="0.25">
      <c r="A61" s="1">
        <f t="shared" si="0"/>
        <v>50</v>
      </c>
      <c r="B61" s="1">
        <v>149</v>
      </c>
    </row>
    <row r="62" spans="1:2" ht="12.5" x14ac:dyDescent="0.25">
      <c r="A62" s="1">
        <f t="shared" si="0"/>
        <v>50.5</v>
      </c>
      <c r="B62" s="1">
        <v>179</v>
      </c>
    </row>
    <row r="63" spans="1:2" ht="12.5" x14ac:dyDescent="0.25">
      <c r="A63" s="1">
        <f t="shared" si="0"/>
        <v>51</v>
      </c>
      <c r="B63" s="1">
        <v>206</v>
      </c>
    </row>
    <row r="64" spans="1:2" ht="12.5" x14ac:dyDescent="0.25">
      <c r="A64" s="1">
        <f t="shared" si="0"/>
        <v>51.5</v>
      </c>
      <c r="B64" s="1">
        <v>228</v>
      </c>
    </row>
    <row r="65" spans="1:2" ht="12.5" x14ac:dyDescent="0.25">
      <c r="A65" s="1">
        <f t="shared" si="0"/>
        <v>52</v>
      </c>
      <c r="B65" s="1">
        <v>246</v>
      </c>
    </row>
    <row r="66" spans="1:2" ht="12.5" x14ac:dyDescent="0.25">
      <c r="A66" s="1">
        <f t="shared" si="0"/>
        <v>52.5</v>
      </c>
      <c r="B66" s="1">
        <v>259</v>
      </c>
    </row>
    <row r="67" spans="1:2" ht="12.5" x14ac:dyDescent="0.25">
      <c r="A67" s="1">
        <f t="shared" si="0"/>
        <v>53</v>
      </c>
      <c r="B67" s="1">
        <v>266</v>
      </c>
    </row>
    <row r="68" spans="1:2" ht="12.5" x14ac:dyDescent="0.25">
      <c r="A68" s="1">
        <f t="shared" si="0"/>
        <v>53.5</v>
      </c>
      <c r="B68" s="1">
        <v>270</v>
      </c>
    </row>
    <row r="69" spans="1:2" ht="12.5" x14ac:dyDescent="0.25">
      <c r="A69" s="1">
        <f t="shared" si="0"/>
        <v>54</v>
      </c>
      <c r="B69" s="1">
        <v>267</v>
      </c>
    </row>
    <row r="70" spans="1:2" ht="12.5" x14ac:dyDescent="0.25">
      <c r="A70" s="1">
        <f t="shared" si="0"/>
        <v>54.5</v>
      </c>
      <c r="B70" s="1">
        <v>258</v>
      </c>
    </row>
    <row r="71" spans="1:2" ht="12.5" x14ac:dyDescent="0.25">
      <c r="A71" s="1">
        <f t="shared" si="0"/>
        <v>55</v>
      </c>
      <c r="B71" s="1">
        <v>245</v>
      </c>
    </row>
    <row r="72" spans="1:2" ht="12.5" x14ac:dyDescent="0.25">
      <c r="A72" s="1">
        <f t="shared" si="0"/>
        <v>55.5</v>
      </c>
      <c r="B72" s="1">
        <v>227</v>
      </c>
    </row>
    <row r="73" spans="1:2" ht="12.5" x14ac:dyDescent="0.25">
      <c r="A73" s="1">
        <f t="shared" si="0"/>
        <v>56</v>
      </c>
      <c r="B73" s="1">
        <v>206</v>
      </c>
    </row>
    <row r="74" spans="1:2" ht="12.5" x14ac:dyDescent="0.25">
      <c r="A74" s="1">
        <f t="shared" si="0"/>
        <v>56.5</v>
      </c>
      <c r="B74" s="1">
        <v>184</v>
      </c>
    </row>
    <row r="75" spans="1:2" ht="12.5" x14ac:dyDescent="0.25">
      <c r="A75" s="1">
        <f t="shared" si="0"/>
        <v>57</v>
      </c>
      <c r="B75" s="1">
        <v>158</v>
      </c>
    </row>
    <row r="76" spans="1:2" ht="12.5" x14ac:dyDescent="0.25">
      <c r="A76" s="1">
        <f t="shared" si="0"/>
        <v>57.5</v>
      </c>
      <c r="B76" s="1">
        <v>133</v>
      </c>
    </row>
    <row r="77" spans="1:2" ht="12.5" x14ac:dyDescent="0.25">
      <c r="A77" s="1">
        <f t="shared" si="0"/>
        <v>58</v>
      </c>
      <c r="B77" s="1">
        <v>118</v>
      </c>
    </row>
    <row r="78" spans="1:2" ht="12.5" x14ac:dyDescent="0.25">
      <c r="A78" s="1">
        <f t="shared" si="0"/>
        <v>58.5</v>
      </c>
      <c r="B78" s="1">
        <v>98</v>
      </c>
    </row>
    <row r="79" spans="1:2" ht="12.5" x14ac:dyDescent="0.25">
      <c r="A79" s="1">
        <f t="shared" si="0"/>
        <v>59</v>
      </c>
      <c r="B79" s="1">
        <v>87</v>
      </c>
    </row>
    <row r="80" spans="1:2" ht="12.5" x14ac:dyDescent="0.25">
      <c r="A80" s="1">
        <f t="shared" si="0"/>
        <v>59.5</v>
      </c>
      <c r="B80" s="1">
        <v>90</v>
      </c>
    </row>
    <row r="81" spans="1:2" ht="12.5" x14ac:dyDescent="0.25">
      <c r="A81" s="1">
        <f t="shared" si="0"/>
        <v>60</v>
      </c>
      <c r="B81" s="1">
        <v>112</v>
      </c>
    </row>
    <row r="82" spans="1:2" ht="12.5" x14ac:dyDescent="0.25">
      <c r="A82" s="1">
        <f t="shared" si="0"/>
        <v>60.5</v>
      </c>
      <c r="B82" s="1">
        <v>153</v>
      </c>
    </row>
    <row r="83" spans="1:2" ht="12.5" x14ac:dyDescent="0.25">
      <c r="A83" s="1">
        <f t="shared" si="0"/>
        <v>61</v>
      </c>
      <c r="B83" s="1">
        <v>201</v>
      </c>
    </row>
    <row r="84" spans="1:2" ht="12.5" x14ac:dyDescent="0.25">
      <c r="A84" s="1">
        <f t="shared" si="0"/>
        <v>61.5</v>
      </c>
      <c r="B84" s="1">
        <v>253</v>
      </c>
    </row>
    <row r="85" spans="1:2" ht="12.5" x14ac:dyDescent="0.25">
      <c r="A85" s="1">
        <f t="shared" si="0"/>
        <v>62</v>
      </c>
      <c r="B85" s="1">
        <v>303</v>
      </c>
    </row>
    <row r="86" spans="1:2" ht="12.5" x14ac:dyDescent="0.25">
      <c r="A86" s="1">
        <f t="shared" si="0"/>
        <v>62.5</v>
      </c>
      <c r="B86" s="1">
        <v>355</v>
      </c>
    </row>
    <row r="87" spans="1:2" ht="12.5" x14ac:dyDescent="0.25">
      <c r="A87" s="1">
        <f t="shared" si="0"/>
        <v>63</v>
      </c>
      <c r="B87" s="1">
        <v>405</v>
      </c>
    </row>
    <row r="88" spans="1:2" ht="12.5" x14ac:dyDescent="0.25">
      <c r="A88" s="1">
        <f t="shared" si="0"/>
        <v>63.5</v>
      </c>
      <c r="B88" s="1">
        <v>447</v>
      </c>
    </row>
    <row r="89" spans="1:2" ht="12.5" x14ac:dyDescent="0.25">
      <c r="A89" s="1">
        <f t="shared" si="0"/>
        <v>64</v>
      </c>
      <c r="B89" s="1">
        <v>485</v>
      </c>
    </row>
    <row r="90" spans="1:2" ht="12.5" x14ac:dyDescent="0.25">
      <c r="A90" s="1">
        <f t="shared" si="0"/>
        <v>64.5</v>
      </c>
      <c r="B90" s="1">
        <v>514</v>
      </c>
    </row>
    <row r="91" spans="1:2" ht="12.5" x14ac:dyDescent="0.25">
      <c r="A91" s="1">
        <f t="shared" si="0"/>
        <v>65</v>
      </c>
      <c r="B91" s="1">
        <v>545</v>
      </c>
    </row>
    <row r="92" spans="1:2" ht="12.5" x14ac:dyDescent="0.25">
      <c r="A92" s="1">
        <f t="shared" si="0"/>
        <v>65.5</v>
      </c>
      <c r="B92" s="1">
        <v>567</v>
      </c>
    </row>
    <row r="93" spans="1:2" ht="12.5" x14ac:dyDescent="0.25">
      <c r="A93" s="1">
        <f t="shared" si="0"/>
        <v>66</v>
      </c>
      <c r="B93" s="1">
        <v>565</v>
      </c>
    </row>
    <row r="94" spans="1:2" ht="12.5" x14ac:dyDescent="0.25">
      <c r="A94" s="1">
        <f t="shared" si="0"/>
        <v>66.5</v>
      </c>
      <c r="B94" s="1">
        <v>511</v>
      </c>
    </row>
    <row r="95" spans="1:2" ht="12.5" x14ac:dyDescent="0.25">
      <c r="A95" s="1">
        <f t="shared" si="0"/>
        <v>67</v>
      </c>
      <c r="B95" s="1">
        <v>600</v>
      </c>
    </row>
    <row r="96" spans="1:2" ht="12.5" x14ac:dyDescent="0.25">
      <c r="A96" s="1">
        <f t="shared" si="0"/>
        <v>67.5</v>
      </c>
      <c r="B96" s="1">
        <v>577</v>
      </c>
    </row>
    <row r="97" spans="1:2" ht="12.5" x14ac:dyDescent="0.25">
      <c r="A97" s="1">
        <f t="shared" si="0"/>
        <v>68</v>
      </c>
      <c r="B97" s="1">
        <v>533</v>
      </c>
    </row>
    <row r="98" spans="1:2" ht="12.5" x14ac:dyDescent="0.25">
      <c r="A98" s="1">
        <f t="shared" si="0"/>
        <v>68.5</v>
      </c>
      <c r="B98" s="1">
        <v>483</v>
      </c>
    </row>
    <row r="99" spans="1:2" ht="12.5" x14ac:dyDescent="0.25">
      <c r="A99" s="1">
        <f t="shared" si="0"/>
        <v>69</v>
      </c>
      <c r="B99" s="1">
        <v>429</v>
      </c>
    </row>
    <row r="100" spans="1:2" ht="12.5" x14ac:dyDescent="0.25">
      <c r="A100" s="1">
        <f t="shared" si="0"/>
        <v>69.5</v>
      </c>
      <c r="B100" s="1">
        <v>373</v>
      </c>
    </row>
    <row r="101" spans="1:2" ht="12.5" x14ac:dyDescent="0.25">
      <c r="A101" s="1">
        <f t="shared" si="0"/>
        <v>70</v>
      </c>
      <c r="B101" s="1">
        <v>320</v>
      </c>
    </row>
    <row r="102" spans="1:2" ht="12.5" x14ac:dyDescent="0.25">
      <c r="A102" s="1">
        <f t="shared" si="0"/>
        <v>70.5</v>
      </c>
      <c r="B102" s="1">
        <v>272</v>
      </c>
    </row>
    <row r="103" spans="1:2" ht="12.5" x14ac:dyDescent="0.25">
      <c r="A103" s="1">
        <f t="shared" si="0"/>
        <v>71</v>
      </c>
      <c r="B103" s="1">
        <v>244</v>
      </c>
    </row>
    <row r="104" spans="1:2" ht="12.5" x14ac:dyDescent="0.25">
      <c r="A104" s="1">
        <f t="shared" si="0"/>
        <v>71.5</v>
      </c>
      <c r="B104" s="1">
        <v>239</v>
      </c>
    </row>
    <row r="105" spans="1:2" ht="12.5" x14ac:dyDescent="0.25">
      <c r="A105" s="1">
        <f t="shared" si="0"/>
        <v>72</v>
      </c>
      <c r="B105" s="1">
        <v>262</v>
      </c>
    </row>
    <row r="106" spans="1:2" ht="12.5" x14ac:dyDescent="0.25">
      <c r="A106" s="1">
        <f t="shared" si="0"/>
        <v>72.5</v>
      </c>
      <c r="B106" s="1">
        <v>313</v>
      </c>
    </row>
    <row r="107" spans="1:2" ht="12.5" x14ac:dyDescent="0.25">
      <c r="A107" s="1">
        <f t="shared" si="0"/>
        <v>73</v>
      </c>
      <c r="B107" s="1">
        <v>382</v>
      </c>
    </row>
    <row r="108" spans="1:2" ht="12.5" x14ac:dyDescent="0.25">
      <c r="A108" s="1">
        <f t="shared" si="0"/>
        <v>73.5</v>
      </c>
      <c r="B108" s="1">
        <v>465</v>
      </c>
    </row>
    <row r="109" spans="1:2" ht="12.5" x14ac:dyDescent="0.25">
      <c r="A109" s="1">
        <f t="shared" si="0"/>
        <v>74</v>
      </c>
      <c r="B109" s="1">
        <v>556</v>
      </c>
    </row>
    <row r="110" spans="1:2" ht="12.5" x14ac:dyDescent="0.25">
      <c r="A110" s="1">
        <f t="shared" si="0"/>
        <v>74.5</v>
      </c>
      <c r="B110" s="1">
        <v>644</v>
      </c>
    </row>
    <row r="111" spans="1:2" ht="12.5" x14ac:dyDescent="0.25">
      <c r="A111" s="1">
        <f t="shared" si="0"/>
        <v>75</v>
      </c>
      <c r="B111" s="1">
        <v>729</v>
      </c>
    </row>
    <row r="112" spans="1:2" ht="12.5" x14ac:dyDescent="0.25">
      <c r="A112" s="1">
        <f t="shared" si="0"/>
        <v>75.5</v>
      </c>
      <c r="B112" s="1">
        <v>803</v>
      </c>
    </row>
    <row r="113" spans="1:2" ht="12.5" x14ac:dyDescent="0.25">
      <c r="A113" s="1">
        <f t="shared" si="0"/>
        <v>76</v>
      </c>
      <c r="B113" s="1">
        <v>868</v>
      </c>
    </row>
    <row r="114" spans="1:2" ht="12.5" x14ac:dyDescent="0.25">
      <c r="A114" s="1">
        <f t="shared" si="0"/>
        <v>76.5</v>
      </c>
      <c r="B114" s="1">
        <v>924</v>
      </c>
    </row>
    <row r="115" spans="1:2" ht="12.5" x14ac:dyDescent="0.25">
      <c r="A115" s="1">
        <f t="shared" si="0"/>
        <v>77</v>
      </c>
      <c r="B115" s="1">
        <v>965</v>
      </c>
    </row>
    <row r="116" spans="1:2" ht="12.5" x14ac:dyDescent="0.25">
      <c r="A116" s="1">
        <f t="shared" si="0"/>
        <v>77.5</v>
      </c>
      <c r="B116" s="1">
        <v>997</v>
      </c>
    </row>
    <row r="117" spans="1:2" ht="12.5" x14ac:dyDescent="0.25">
      <c r="A117" s="1">
        <f t="shared" si="0"/>
        <v>78</v>
      </c>
      <c r="B117" s="1">
        <v>1010</v>
      </c>
    </row>
    <row r="118" spans="1:2" ht="12.5" x14ac:dyDescent="0.25">
      <c r="A118" s="1">
        <f t="shared" si="0"/>
        <v>78.5</v>
      </c>
      <c r="B118" s="1">
        <v>1010</v>
      </c>
    </row>
    <row r="119" spans="1:2" ht="12.5" x14ac:dyDescent="0.25">
      <c r="A119" s="1">
        <f t="shared" si="0"/>
        <v>79</v>
      </c>
      <c r="B119" s="1">
        <v>992</v>
      </c>
    </row>
    <row r="120" spans="1:2" ht="12.5" x14ac:dyDescent="0.25">
      <c r="A120" s="1">
        <f t="shared" si="0"/>
        <v>79.5</v>
      </c>
      <c r="B120" s="1">
        <v>959</v>
      </c>
    </row>
    <row r="121" spans="1:2" ht="12.5" x14ac:dyDescent="0.25">
      <c r="A121" s="1">
        <f t="shared" si="0"/>
        <v>80</v>
      </c>
      <c r="B121" s="1">
        <v>914</v>
      </c>
    </row>
    <row r="122" spans="1:2" ht="12.5" x14ac:dyDescent="0.25">
      <c r="A122" s="1">
        <f t="shared" si="0"/>
        <v>80.5</v>
      </c>
      <c r="B122" s="1">
        <v>857</v>
      </c>
    </row>
    <row r="123" spans="1:2" ht="12.5" x14ac:dyDescent="0.25">
      <c r="A123" s="1">
        <f t="shared" si="0"/>
        <v>81</v>
      </c>
      <c r="B123" s="1">
        <v>792</v>
      </c>
    </row>
    <row r="124" spans="1:2" ht="12.5" x14ac:dyDescent="0.25">
      <c r="A124" s="1">
        <f t="shared" si="0"/>
        <v>81.5</v>
      </c>
      <c r="B124" s="1">
        <v>718</v>
      </c>
    </row>
    <row r="125" spans="1:2" ht="12.5" x14ac:dyDescent="0.25">
      <c r="A125" s="1">
        <f t="shared" si="0"/>
        <v>82</v>
      </c>
      <c r="B125" s="1">
        <v>645</v>
      </c>
    </row>
    <row r="126" spans="1:2" ht="12.5" x14ac:dyDescent="0.25">
      <c r="A126" s="1">
        <f t="shared" si="0"/>
        <v>82.5</v>
      </c>
      <c r="B126" s="1">
        <v>573</v>
      </c>
    </row>
    <row r="127" spans="1:2" ht="12.5" x14ac:dyDescent="0.25">
      <c r="A127" s="1">
        <f t="shared" si="0"/>
        <v>83</v>
      </c>
      <c r="B127" s="1">
        <v>509</v>
      </c>
    </row>
    <row r="128" spans="1:2" ht="12.5" x14ac:dyDescent="0.25">
      <c r="A128" s="1">
        <f t="shared" si="0"/>
        <v>83.5</v>
      </c>
      <c r="B128" s="1">
        <v>483</v>
      </c>
    </row>
    <row r="129" spans="1:2" ht="12.5" x14ac:dyDescent="0.25">
      <c r="A129" s="1">
        <f t="shared" si="0"/>
        <v>84</v>
      </c>
      <c r="B129" s="1">
        <v>493</v>
      </c>
    </row>
    <row r="130" spans="1:2" ht="12.5" x14ac:dyDescent="0.25">
      <c r="A130" s="1">
        <f t="shared" si="0"/>
        <v>84.5</v>
      </c>
      <c r="B130" s="1">
        <v>540</v>
      </c>
    </row>
    <row r="131" spans="1:2" ht="12.5" x14ac:dyDescent="0.25">
      <c r="A131" s="1">
        <f t="shared" si="0"/>
        <v>85</v>
      </c>
      <c r="B131" s="1">
        <v>600</v>
      </c>
    </row>
  </sheetData>
  <phoneticPr fontId="3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0BE1B7-BE98-4C14-8DE9-DB48C59B797B}">
  <dimension ref="A1:G16"/>
  <sheetViews>
    <sheetView tabSelected="1" workbookViewId="0">
      <selection activeCell="A12" sqref="A12:D16"/>
    </sheetView>
  </sheetViews>
  <sheetFormatPr defaultRowHeight="12.5" x14ac:dyDescent="0.25"/>
  <sheetData>
    <row r="1" spans="1:7" x14ac:dyDescent="0.25">
      <c r="A1" s="7" t="s">
        <v>11</v>
      </c>
      <c r="B1" s="4" t="s">
        <v>5</v>
      </c>
      <c r="C1" s="3"/>
      <c r="D1" s="4" t="s">
        <v>8</v>
      </c>
      <c r="E1" s="3"/>
      <c r="F1" s="4" t="s">
        <v>10</v>
      </c>
      <c r="G1" s="3"/>
    </row>
    <row r="2" spans="1:7" x14ac:dyDescent="0.25">
      <c r="A2" s="2" t="s">
        <v>12</v>
      </c>
      <c r="B2" s="2" t="s">
        <v>2</v>
      </c>
      <c r="C2" s="2" t="s">
        <v>3</v>
      </c>
      <c r="D2" s="2" t="s">
        <v>2</v>
      </c>
      <c r="E2" s="2" t="s">
        <v>3</v>
      </c>
    </row>
    <row r="3" spans="1:7" x14ac:dyDescent="0.25">
      <c r="A3" s="2" t="s">
        <v>13</v>
      </c>
      <c r="B3">
        <v>12</v>
      </c>
      <c r="C3">
        <v>11</v>
      </c>
      <c r="D3">
        <v>11.5</v>
      </c>
      <c r="E3">
        <v>12</v>
      </c>
      <c r="F3">
        <v>11.5</v>
      </c>
      <c r="G3">
        <v>12</v>
      </c>
    </row>
    <row r="4" spans="1:7" x14ac:dyDescent="0.25">
      <c r="A4" s="2" t="s">
        <v>14</v>
      </c>
      <c r="B4">
        <v>11</v>
      </c>
      <c r="C4">
        <v>12</v>
      </c>
      <c r="D4">
        <v>12</v>
      </c>
      <c r="E4">
        <v>11.5</v>
      </c>
      <c r="F4">
        <v>11.5</v>
      </c>
      <c r="G4">
        <v>11.5</v>
      </c>
    </row>
    <row r="5" spans="1:7" x14ac:dyDescent="0.25">
      <c r="A5" s="2" t="s">
        <v>15</v>
      </c>
      <c r="B5">
        <v>12</v>
      </c>
      <c r="C5">
        <v>11</v>
      </c>
      <c r="D5">
        <v>13.5</v>
      </c>
      <c r="E5">
        <v>11.5</v>
      </c>
      <c r="F5">
        <v>11.5</v>
      </c>
      <c r="G5">
        <v>12</v>
      </c>
    </row>
    <row r="6" spans="1:7" x14ac:dyDescent="0.25">
      <c r="A6" s="2" t="s">
        <v>16</v>
      </c>
      <c r="B6">
        <v>12</v>
      </c>
      <c r="C6">
        <v>12</v>
      </c>
      <c r="D6" s="2" t="s">
        <v>6</v>
      </c>
      <c r="E6">
        <v>12.5</v>
      </c>
      <c r="F6">
        <v>12</v>
      </c>
      <c r="G6">
        <v>12</v>
      </c>
    </row>
    <row r="7" spans="1:7" x14ac:dyDescent="0.25">
      <c r="A7" s="2" t="s">
        <v>17</v>
      </c>
      <c r="B7">
        <v>11</v>
      </c>
      <c r="C7" s="2" t="s">
        <v>6</v>
      </c>
      <c r="D7" s="2" t="s">
        <v>6</v>
      </c>
      <c r="E7" s="2" t="s">
        <v>6</v>
      </c>
      <c r="F7">
        <v>12.5</v>
      </c>
      <c r="G7" s="2" t="s">
        <v>6</v>
      </c>
    </row>
    <row r="8" spans="1:7" x14ac:dyDescent="0.25">
      <c r="A8" s="2" t="s">
        <v>18</v>
      </c>
      <c r="B8" s="5">
        <f>AVERAGE(B3:B7)</f>
        <v>11.6</v>
      </c>
      <c r="C8" s="5">
        <f>AVERAGE(C3:C7)</f>
        <v>11.5</v>
      </c>
      <c r="D8" s="5">
        <f>AVERAGE(D3:D7)</f>
        <v>12.333333333333334</v>
      </c>
      <c r="E8" s="6">
        <f>AVERAGE(E3:E7)</f>
        <v>11.875</v>
      </c>
      <c r="F8" s="6">
        <f>AVERAGE(F3:F7)</f>
        <v>11.8</v>
      </c>
      <c r="G8" s="6">
        <f>AVERAGE(G3:G7)</f>
        <v>11.875</v>
      </c>
    </row>
    <row r="9" spans="1:7" x14ac:dyDescent="0.25">
      <c r="A9" s="2" t="s">
        <v>19</v>
      </c>
      <c r="B9" s="8">
        <f>_xlfn.STDEV.P(B3:B7)/SQRT(4)</f>
        <v>0.2449489742783178</v>
      </c>
      <c r="C9" s="8">
        <f>_xlfn.STDEV.P(C3:C7)/SQRT(3)</f>
        <v>0.28867513459481292</v>
      </c>
      <c r="D9" s="8">
        <f>_xlfn.STDEV.P(D3:D7)/SQRT(2)</f>
        <v>0.60092521257733156</v>
      </c>
      <c r="E9" s="8">
        <f>_xlfn.STDEV.P(E3:E7)/SQRT(3)</f>
        <v>0.23935677693908453</v>
      </c>
      <c r="F9" s="8">
        <f>_xlfn.STDEV.P(F3:F7)/SQRT(4)</f>
        <v>0.2</v>
      </c>
      <c r="G9" s="8">
        <f>_xlfn.STDEV.P(G3:G7)/SQRT(3)</f>
        <v>0.125</v>
      </c>
    </row>
    <row r="10" spans="1:7" x14ac:dyDescent="0.25">
      <c r="A10" s="2" t="s">
        <v>20</v>
      </c>
      <c r="B10" s="9">
        <f>(B8-11.6)/B8</f>
        <v>0</v>
      </c>
      <c r="C10" s="9">
        <f t="shared" ref="C10:G10" si="0">(C8-11.6)/C8</f>
        <v>-8.6956521739130124E-3</v>
      </c>
      <c r="D10" s="9">
        <f t="shared" si="0"/>
        <v>5.9459459459459532E-2</v>
      </c>
      <c r="E10" s="9">
        <f t="shared" si="0"/>
        <v>2.3157894736842134E-2</v>
      </c>
      <c r="F10" s="9">
        <f t="shared" si="0"/>
        <v>1.6949152542372972E-2</v>
      </c>
      <c r="G10" s="9">
        <f t="shared" si="0"/>
        <v>2.3157894736842134E-2</v>
      </c>
    </row>
    <row r="12" spans="1:7" x14ac:dyDescent="0.25">
      <c r="A12" s="7" t="s">
        <v>11</v>
      </c>
      <c r="B12" t="s">
        <v>4</v>
      </c>
      <c r="C12" t="s">
        <v>7</v>
      </c>
      <c r="D12" t="s">
        <v>9</v>
      </c>
    </row>
    <row r="13" spans="1:7" x14ac:dyDescent="0.25">
      <c r="A13" s="7" t="s">
        <v>21</v>
      </c>
      <c r="B13" s="8">
        <v>11.6</v>
      </c>
      <c r="C13" s="8">
        <v>12.333333333333334</v>
      </c>
      <c r="D13" s="8">
        <v>11.8</v>
      </c>
    </row>
    <row r="14" spans="1:7" x14ac:dyDescent="0.25">
      <c r="A14" s="7" t="s">
        <v>22</v>
      </c>
      <c r="B14" s="8">
        <v>11.5</v>
      </c>
      <c r="C14" s="8">
        <v>11.875</v>
      </c>
      <c r="D14" s="8">
        <v>11.875</v>
      </c>
    </row>
    <row r="15" spans="1:7" x14ac:dyDescent="0.25">
      <c r="A15" s="7" t="s">
        <v>18</v>
      </c>
      <c r="B15" s="8">
        <f>AVERAGE(B13:B14)</f>
        <v>11.55</v>
      </c>
      <c r="C15" s="8">
        <f t="shared" ref="C15:D15" si="1">AVERAGE(C13:C14)</f>
        <v>12.104166666666668</v>
      </c>
      <c r="D15" s="8">
        <f t="shared" si="1"/>
        <v>11.8375</v>
      </c>
    </row>
    <row r="16" spans="1:7" x14ac:dyDescent="0.25">
      <c r="A16" s="7" t="s">
        <v>20</v>
      </c>
      <c r="B16" s="9">
        <f>(B15-11.6)/11.6</f>
        <v>-4.3103448275861149E-3</v>
      </c>
      <c r="C16" s="9">
        <f t="shared" ref="C16:D16" si="2">(C15-11.6)/11.6</f>
        <v>4.346264367816105E-2</v>
      </c>
      <c r="D16" s="9">
        <f t="shared" si="2"/>
        <v>2.0474137931034544E-2</v>
      </c>
    </row>
  </sheetData>
  <mergeCells count="3">
    <mergeCell ref="F1:G1"/>
    <mergeCell ref="D1:E1"/>
    <mergeCell ref="B1:C1"/>
  </mergeCells>
  <phoneticPr fontId="3" type="noConversion"/>
  <pageMargins left="0.7" right="0.7" top="0.75" bottom="0.75" header="0.3" footer="0.3"/>
  <ignoredErrors>
    <ignoredError sqref="D9 F9" formula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手测</vt:lpstr>
      <vt:lpstr>峰谷距离计算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舒云 杨</cp:lastModifiedBy>
  <dcterms:modified xsi:type="dcterms:W3CDTF">2024-05-13T19:39:40Z</dcterms:modified>
</cp:coreProperties>
</file>