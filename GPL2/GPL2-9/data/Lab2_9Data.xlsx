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C:\Users\yangshuyun\Desktop\"/>
    </mc:Choice>
  </mc:AlternateContent>
  <xr:revisionPtr revIDLastSave="0" documentId="13_ncr:1_{58D1CD66-86D4-4085-9A89-228597F8A1E9}" xr6:coauthVersionLast="47" xr6:coauthVersionMax="47" xr10:uidLastSave="{00000000-0000-0000-0000-000000000000}"/>
  <bookViews>
    <workbookView xWindow="4600" yWindow="1290" windowWidth="20540" windowHeight="1378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7" i="1" l="1"/>
  <c r="F7" i="1"/>
  <c r="F6" i="1"/>
  <c r="G4" i="1"/>
  <c r="F4" i="1"/>
  <c r="F3" i="1"/>
</calcChain>
</file>

<file path=xl/sharedStrings.xml><?xml version="1.0" encoding="utf-8"?>
<sst xmlns="http://schemas.openxmlformats.org/spreadsheetml/2006/main" count="19" uniqueCount="14">
  <si>
    <t>参数调节记录</t>
    <phoneticPr fontId="1" type="noConversion"/>
  </si>
  <si>
    <t>K_p</t>
    <phoneticPr fontId="1" type="noConversion"/>
  </si>
  <si>
    <t>K_I</t>
    <phoneticPr fontId="1" type="noConversion"/>
  </si>
  <si>
    <t>K_d</t>
    <phoneticPr fontId="1" type="noConversion"/>
  </si>
  <si>
    <t>P1</t>
    <phoneticPr fontId="1" type="noConversion"/>
  </si>
  <si>
    <t>P2</t>
    <phoneticPr fontId="1" type="noConversion"/>
  </si>
  <si>
    <t>PI1</t>
    <phoneticPr fontId="1" type="noConversion"/>
  </si>
  <si>
    <t>PI2</t>
    <phoneticPr fontId="1" type="noConversion"/>
  </si>
  <si>
    <t>PID1</t>
    <phoneticPr fontId="1" type="noConversion"/>
  </si>
  <si>
    <t>PID2</t>
    <phoneticPr fontId="1" type="noConversion"/>
  </si>
  <si>
    <t>设定温度/摄氏度</t>
    <phoneticPr fontId="1" type="noConversion"/>
  </si>
  <si>
    <t>实际温度/摄氏度</t>
    <phoneticPr fontId="1" type="noConversion"/>
  </si>
  <si>
    <t>控温时长/秒</t>
    <phoneticPr fontId="1" type="noConversion"/>
  </si>
  <si>
    <t>nan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</si>
</sst>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tabSelected="1" workbookViewId="0">
      <selection activeCell="G8" sqref="G8"/>
    </sheetView>
  </sheetViews>
  <sheetFormatPr defaultRowHeight="14" x14ac:dyDescent="0.3"/>
  <sheetData>
    <row r="1" spans="1:7" x14ac:dyDescent="0.3">
      <c r="A1" t="s">
        <v>0</v>
      </c>
      <c r="B1" t="s">
        <v>10</v>
      </c>
      <c r="C1" t="s">
        <v>11</v>
      </c>
      <c r="D1" t="s">
        <v>12</v>
      </c>
      <c r="E1" t="s">
        <v>1</v>
      </c>
      <c r="F1" t="s">
        <v>2</v>
      </c>
      <c r="G1" t="s">
        <v>3</v>
      </c>
    </row>
    <row r="2" spans="1:7" x14ac:dyDescent="0.3">
      <c r="A2" t="s">
        <v>4</v>
      </c>
      <c r="B2">
        <v>35</v>
      </c>
      <c r="C2">
        <v>35.06868550724635</v>
      </c>
      <c r="D2">
        <v>142</v>
      </c>
      <c r="E2">
        <v>250</v>
      </c>
      <c r="F2" t="s">
        <v>13</v>
      </c>
      <c r="G2" t="s">
        <v>13</v>
      </c>
    </row>
    <row r="3" spans="1:7" x14ac:dyDescent="0.3">
      <c r="A3" t="s">
        <v>6</v>
      </c>
      <c r="B3">
        <v>35</v>
      </c>
      <c r="C3">
        <v>35.010869364161842</v>
      </c>
      <c r="D3">
        <v>223</v>
      </c>
      <c r="E3">
        <v>225</v>
      </c>
      <c r="F3">
        <f>225/0.17</f>
        <v>1323.5294117647059</v>
      </c>
      <c r="G3" t="s">
        <v>13</v>
      </c>
    </row>
    <row r="4" spans="1:7" x14ac:dyDescent="0.3">
      <c r="A4" t="s">
        <v>8</v>
      </c>
      <c r="B4">
        <v>35</v>
      </c>
      <c r="C4">
        <v>35.090616483516449</v>
      </c>
      <c r="D4">
        <v>143</v>
      </c>
      <c r="E4">
        <v>300</v>
      </c>
      <c r="F4">
        <f>300/0.16</f>
        <v>1875</v>
      </c>
      <c r="G4">
        <f>300*0.025</f>
        <v>7.5</v>
      </c>
    </row>
    <row r="5" spans="1:7" x14ac:dyDescent="0.3">
      <c r="A5" t="s">
        <v>5</v>
      </c>
      <c r="B5">
        <v>20</v>
      </c>
      <c r="C5">
        <v>20.148174846625789</v>
      </c>
      <c r="D5">
        <v>199</v>
      </c>
      <c r="E5">
        <v>400.5</v>
      </c>
      <c r="F5" t="s">
        <v>13</v>
      </c>
      <c r="G5" t="s">
        <v>13</v>
      </c>
    </row>
    <row r="6" spans="1:7" x14ac:dyDescent="0.3">
      <c r="A6" t="s">
        <v>7</v>
      </c>
      <c r="B6">
        <v>20</v>
      </c>
      <c r="C6">
        <v>20.130943697479005</v>
      </c>
      <c r="D6">
        <v>151</v>
      </c>
      <c r="E6">
        <v>360</v>
      </c>
      <c r="F6">
        <f>360/0.085</f>
        <v>4235.2941176470586</v>
      </c>
      <c r="G6" t="s">
        <v>13</v>
      </c>
    </row>
    <row r="7" spans="1:7" x14ac:dyDescent="0.3">
      <c r="A7" t="s">
        <v>9</v>
      </c>
      <c r="B7">
        <v>20</v>
      </c>
      <c r="C7">
        <v>20.136349583333313</v>
      </c>
      <c r="D7">
        <v>241</v>
      </c>
      <c r="E7">
        <v>480</v>
      </c>
      <c r="F7">
        <f>480/0.05</f>
        <v>9600</v>
      </c>
      <c r="G7">
        <f>480*0.0125</f>
        <v>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yangshuyun</dc:creator>
  <cp:lastModifiedBy>舒云 杨</cp:lastModifiedBy>
  <dcterms:created xsi:type="dcterms:W3CDTF">2015-06-05T18:19:34Z</dcterms:created>
  <dcterms:modified xsi:type="dcterms:W3CDTF">2024-05-28T18:12:33Z</dcterms:modified>
</cp:coreProperties>
</file>